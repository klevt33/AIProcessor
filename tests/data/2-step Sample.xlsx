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Spend Report AI API\tests\"/>
    </mc:Choice>
  </mc:AlternateContent>
  <xr:revisionPtr revIDLastSave="0" documentId="13_ncr:1_{FD3A550E-9EE1-4004-B052-70EFBF375EBE}" xr6:coauthVersionLast="47" xr6:coauthVersionMax="47" xr10:uidLastSave="{00000000-0000-0000-0000-000000000000}"/>
  <bookViews>
    <workbookView xWindow="-108" yWindow="-108" windowWidth="23256" windowHeight="12456" xr2:uid="{2C10A426-D1E2-4264-891D-B5DC4A4A4277}"/>
  </bookViews>
  <sheets>
    <sheet name="results" sheetId="1" r:id="rId1"/>
  </sheets>
  <definedNames>
    <definedName name="_xlnm._FilterDatabase" localSheetId="0" hidden="1">results!$A$1:$AB$966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66" i="1" l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B563" i="1"/>
</calcChain>
</file>

<file path=xl/sharedStrings.xml><?xml version="1.0" encoding="utf-8"?>
<sst xmlns="http://schemas.openxmlformats.org/spreadsheetml/2006/main" count="6070" uniqueCount="2355">
  <si>
    <t>IVCE_DTL_UID</t>
  </si>
  <si>
    <t>ITM_LDSC</t>
  </si>
  <si>
    <t>MFR_NM</t>
  </si>
  <si>
    <t>MFR_PRT_NUM</t>
  </si>
  <si>
    <t>AKS_PRT_NUM</t>
  </si>
  <si>
    <t>UPC_CD</t>
  </si>
  <si>
    <t>ItemID</t>
  </si>
  <si>
    <t>MfrPartNum</t>
  </si>
  <si>
    <t>MfrName</t>
  </si>
  <si>
    <t>UPC</t>
  </si>
  <si>
    <t>UNSPSC</t>
  </si>
  <si>
    <t>AKPartNum</t>
  </si>
  <si>
    <t>DescriptionID</t>
  </si>
  <si>
    <t>ItemDescription</t>
  </si>
  <si>
    <t>CleanName</t>
  </si>
  <si>
    <t>UncleanName</t>
  </si>
  <si>
    <t>MfrNameMatchType</t>
  </si>
  <si>
    <t>DescriptionSimilarity</t>
  </si>
  <si>
    <t>PartNumberConfidenceScore</t>
  </si>
  <si>
    <t>ManufacturerNameConfidenceScore</t>
  </si>
  <si>
    <t>UNSPSCConfidenceScore</t>
  </si>
  <si>
    <t>Semantic_MfrName</t>
  </si>
  <si>
    <t>Semantic_MfrNameConfidenceScore</t>
  </si>
  <si>
    <t>Semantic_UNSPSC</t>
  </si>
  <si>
    <t>Semantic_UNSPSCConfidenceScore</t>
  </si>
  <si>
    <t xml:space="preserve">WIC. THHN 8 STR YEL MR </t>
  </si>
  <si>
    <t>WIC.</t>
  </si>
  <si>
    <t>THHN 8 STR YEL MR</t>
  </si>
  <si>
    <t xml:space="preserve">WIC. THHN 3 STR BLK MR </t>
  </si>
  <si>
    <t>THHN 3 STR BLK MR</t>
  </si>
  <si>
    <t xml:space="preserve">WIC. THHN 3 STR RED MR </t>
  </si>
  <si>
    <t>THHN 3 STR RED MR</t>
  </si>
  <si>
    <t xml:space="preserve">WIC. THHN 3 STR BLU MR </t>
  </si>
  <si>
    <t>THHN 3 STR BLU MR</t>
  </si>
  <si>
    <t xml:space="preserve">WIC. THHN 3 STR WHT MR </t>
  </si>
  <si>
    <t>THHN 3 STR WHT MR</t>
  </si>
  <si>
    <t xml:space="preserve">WIC. THHN 8 STR GRN MR </t>
  </si>
  <si>
    <t>THHN 8 STR GRN MR</t>
  </si>
  <si>
    <t>GREENLEE TEXTRON</t>
  </si>
  <si>
    <t>GRN</t>
  </si>
  <si>
    <t>SINGLE_MATCH</t>
  </si>
  <si>
    <t>EMT 034E 3/4IN EMT CONDUIT 10FT</t>
  </si>
  <si>
    <t>EMT</t>
  </si>
  <si>
    <t>034E</t>
  </si>
  <si>
    <t>AK10432108</t>
  </si>
  <si>
    <t>GENERIC CONDUIT/CONDUIT FITTINGS</t>
  </si>
  <si>
    <t>CONDUIT</t>
  </si>
  <si>
    <t>B-LINE BW-8 1/2IN CONDUIT CLIP</t>
  </si>
  <si>
    <t>B-LINE</t>
  </si>
  <si>
    <t>BW-8</t>
  </si>
  <si>
    <t>AK10251748</t>
  </si>
  <si>
    <t>MULTIPLE_MATCHES_ONE_VALID</t>
  </si>
  <si>
    <t>B-LINE BW4 BX TO WIRE FASTENER</t>
  </si>
  <si>
    <t>BW4</t>
  </si>
  <si>
    <t>AK10251744</t>
  </si>
  <si>
    <t>EMT 100E 1IN EMT CONDUIT 10FT</t>
  </si>
  <si>
    <t>100E</t>
  </si>
  <si>
    <t>AK10431715</t>
  </si>
  <si>
    <t>AFI NT2762RT 1IN COUPLING</t>
  </si>
  <si>
    <t>AFI</t>
  </si>
  <si>
    <t>NT2762RT</t>
  </si>
  <si>
    <t>AK10074571</t>
  </si>
  <si>
    <t>AMERICAN FITTINGS CORPORATION</t>
  </si>
  <si>
    <t>AMFI NT2762RT 1IN COUPLING</t>
  </si>
  <si>
    <t>ADV IOPA3P32N35I ELE (3) F32T8 120-277V</t>
  </si>
  <si>
    <t>ADV</t>
  </si>
  <si>
    <t>IOPA3P32N35I</t>
  </si>
  <si>
    <t>AK10933785</t>
  </si>
  <si>
    <t>ADVANCE</t>
  </si>
  <si>
    <t>GRN 1955-SS #10-18 WIRE STRPR SS CURVED HN</t>
  </si>
  <si>
    <t>1955-SS</t>
  </si>
  <si>
    <t>AK10973667</t>
  </si>
  <si>
    <t>1955SS</t>
  </si>
  <si>
    <t>GREENLEE TOOL</t>
  </si>
  <si>
    <t>GRN 1955SS #1018 WIRE STRPR SS CURVED HN</t>
  </si>
  <si>
    <t>NO_VALID_MATCHES</t>
  </si>
  <si>
    <t>RAY-NUH H913 RAY H913 ROOF CLIPS 10 PER PK</t>
  </si>
  <si>
    <t>RAY-NUH</t>
  </si>
  <si>
    <t>H913</t>
  </si>
  <si>
    <t>AK10648636</t>
  </si>
  <si>
    <t>FEDSIG 151XST-120R STROBE 120VAC HAZARDOUS LOCATION RED</t>
  </si>
  <si>
    <t>FEDSIG</t>
  </si>
  <si>
    <t>151XST-120R</t>
  </si>
  <si>
    <t>151XST120R</t>
  </si>
  <si>
    <t>FEDERAL SIGNAL CORPORATION</t>
  </si>
  <si>
    <t>FED-SIG 151XST-120R RED XPRFSTROBE</t>
  </si>
  <si>
    <t>NO_MANUFACTURERS_FOUND</t>
  </si>
  <si>
    <t>ATLASCOPCO CPS 175-100 CW 11716616 COMPRESSOR 175-195 CFM TIER 4</t>
  </si>
  <si>
    <t>ATLASCOPCO</t>
  </si>
  <si>
    <t>CPS 175-100 CW</t>
  </si>
  <si>
    <t xml:space="preserve"> 110/2400 AIR HOSE 3/4" X 50'</t>
  </si>
  <si>
    <t xml:space="preserve"> 110/1000 BLOW GUN AIR</t>
  </si>
  <si>
    <t>MINERALLAC COMPANY</t>
  </si>
  <si>
    <t>MINRLAC 110-1000 MOUNTING STRAP</t>
  </si>
  <si>
    <t>CA PERSONAL PROP TAX REIMB CHARGE</t>
  </si>
  <si>
    <t xml:space="preserve"> H-3688GR ULINE TRASH CAN - 44 GALLON, GRAY</t>
  </si>
  <si>
    <t>ULINE</t>
  </si>
  <si>
    <t xml:space="preserve"> H-7928 ULINE TRASH CAN DOLLY</t>
  </si>
  <si>
    <t xml:space="preserve"> H-4200GR LID FOR 44 GALLON ULINE TRASH CAN - GRAY</t>
  </si>
  <si>
    <t>O Z GEDNEY</t>
  </si>
  <si>
    <t>AK10076675</t>
  </si>
  <si>
    <t>OZG 4200 2IN MALL 3PC COND CPLG SEP 1027 CS5</t>
  </si>
  <si>
    <t xml:space="preserve"> BLINB22SH120GLV 1-5/8 SLOT STRUT 10' GLV
1-5/8 SLOT STRUT 10' GLV</t>
  </si>
  <si>
    <t>AK10246700</t>
  </si>
  <si>
    <t>BLINE</t>
  </si>
  <si>
    <t xml:space="preserve"> COND34EMT 3/4" THIN WALL
3/4" THIN WALL</t>
  </si>
  <si>
    <t>CORD103SO250R_ CORD103SO250R 10-3SO 600V CORD250' RL</t>
  </si>
  <si>
    <t>H-8020-MAP_ H-8020-MAP MOBILE HEAVY-DUTY PACKING TABLE - 72 X 36", MAPLE TOP WITH ROUNDED EDGE</t>
  </si>
  <si>
    <t>CADW#TAC3Q3Q_ CADW#TAC3Q3Q 500MCM TO 500MCM TEE</t>
  </si>
  <si>
    <t xml:space="preserve"> CADWL 160 HANDLE CLAMP FOR C,E,R MOLDS
HANDLE CLAMP FOR C,E,R MOLDS</t>
  </si>
  <si>
    <t>AK10632170</t>
  </si>
  <si>
    <t xml:space="preserve"> NSIIIT-750 750-250MCM INSUL TAP CONN
750-250MCM INSUL TAP CONN</t>
  </si>
  <si>
    <t>AK10626550</t>
  </si>
  <si>
    <t xml:space="preserve"> NSIIIPLD500-4 500MCM 4AWG INSUL TAP CONN
500MCM 4AWG INSUL TAP CONN</t>
  </si>
  <si>
    <t>AK10626419</t>
  </si>
  <si>
    <t xml:space="preserve"> H-3085R WALL CLOCK - 9", RED ATTN: MARC ST MARTIN</t>
  </si>
  <si>
    <t xml:space="preserve"> S-2761R JOB TICKET HOLDERS - 9 X 12", RED</t>
  </si>
  <si>
    <t xml:space="preserve"> H-7004BL MOBILE PEDESTAL FILE - 2 DRAWER, BLACK</t>
  </si>
  <si>
    <t xml:space="preserve"> H-8621BL ULINE LOCKOUT PADLOCK - KEYED DIFFERENT, 1 1/2" SHACKLE, BLACK</t>
  </si>
  <si>
    <t xml:space="preserve"> LP12-55 T9 IM-12550NB BATTERY LEAD 12V55AH</t>
  </si>
  <si>
    <t>LP12-55 T9</t>
  </si>
  <si>
    <t>EML 400E90 4IN 90D EMT ELB 4 IN 90DEG EMT ELBOW</t>
  </si>
  <si>
    <t>EML</t>
  </si>
  <si>
    <t>400E90</t>
  </si>
  <si>
    <t>AK10432318</t>
  </si>
  <si>
    <t>QMRK MPDS25 25A PWR DISCONN SW</t>
  </si>
  <si>
    <t>QMRK</t>
  </si>
  <si>
    <t>MPDS25</t>
  </si>
  <si>
    <t>GEA THQB1130 1P 30A 120V BOLT-ON CB</t>
  </si>
  <si>
    <t>GEA</t>
  </si>
  <si>
    <t>THQB1130</t>
  </si>
  <si>
    <t>ABB INDUSTRIAL SOLUTIONS</t>
  </si>
  <si>
    <t>AK10012839</t>
  </si>
  <si>
    <t>GEA THQB1130 CB 1P 30A 240V BOLT ON</t>
  </si>
  <si>
    <t>B-LINE B172-ZN 4H CHANNEL SPLICE</t>
  </si>
  <si>
    <t>B172-ZN</t>
  </si>
  <si>
    <t>AK10245743</t>
  </si>
  <si>
    <t>B172ZN</t>
  </si>
  <si>
    <t>BLINE B172ZN 4 HOLE CHANNEL SPLICE</t>
  </si>
  <si>
    <t xml:space="preserve"> H-2793 POLYETHYLENE STEP STOOL - 3 STEPS</t>
  </si>
  <si>
    <t>H-3736R_ H-3736R ULINE BLACK CROWD CONTROL POSTS WITH RETRACTABLE BELT - RED, 10'</t>
  </si>
  <si>
    <t>CONTROL</t>
  </si>
  <si>
    <t xml:space="preserve"> S-2900BLU ULINE COLOR TINTED STRETCH WRAP - CAST, 80 GAUGE, 18" X 1,500', BLUE</t>
  </si>
  <si>
    <t xml:space="preserve"> S-15993Y 3M 3900 DUCT TAPE - 2" X 60 YDS, YELLOW</t>
  </si>
  <si>
    <t>3M</t>
  </si>
  <si>
    <t xml:space="preserve"> S-11335GR GIANT PLASTIC STACKABLE BINS - 15 X 20 X 12 1/2", GRAY</t>
  </si>
  <si>
    <t>MULBERRY METAL PRODUCTS</t>
  </si>
  <si>
    <t>095327113359</t>
  </si>
  <si>
    <t>MULB 11335 4-11/16 SQ 2G FLAT COVER</t>
  </si>
  <si>
    <t>MULB 12803 1IN LB THRD COND BDY KIT</t>
  </si>
  <si>
    <t>MULB</t>
  </si>
  <si>
    <t>09532712803</t>
  </si>
  <si>
    <t>095327128032</t>
  </si>
  <si>
    <t>PVC 100P 1IN SCH40 PVC PIPE CIVIL: TRENCH ENCASE 1 PVC-100</t>
  </si>
  <si>
    <t>PVC</t>
  </si>
  <si>
    <t>100P 1IN SCH40 PVC PIPE</t>
  </si>
  <si>
    <t>B-LINE N224-ZN-1/4 PLTD SPRING NUT</t>
  </si>
  <si>
    <t>N224-ZN-1/4</t>
  </si>
  <si>
    <t>AK10619419</t>
  </si>
  <si>
    <t>MILW 48-20-7451 3/8X4X6 SDS BIT</t>
  </si>
  <si>
    <t>MILW</t>
  </si>
  <si>
    <t>48-20-7451</t>
  </si>
  <si>
    <t>AK10253713</t>
  </si>
  <si>
    <t>04524211165</t>
  </si>
  <si>
    <t>MILWAUKEE TOOL</t>
  </si>
  <si>
    <t>045242111657</t>
  </si>
  <si>
    <t>PVCFIT 100P CP 1 IN PVC COND COUPLING</t>
  </si>
  <si>
    <t>PVCFIT</t>
  </si>
  <si>
    <t>100P CP</t>
  </si>
  <si>
    <t>AK10432552</t>
  </si>
  <si>
    <t>KLEIN 32766 3N1 IMPACT FLIP SOCKET 3IN LENGTH</t>
  </si>
  <si>
    <t>KLEIN</t>
  </si>
  <si>
    <t>AK10608168</t>
  </si>
  <si>
    <t>09264432766</t>
  </si>
  <si>
    <t>KLEIN TOOLS</t>
  </si>
  <si>
    <t>092644327667</t>
  </si>
  <si>
    <t>KLEIN 32766 IMPACT SOCKET</t>
  </si>
  <si>
    <t>RAYOVAC ALAA-8J (AL-AA) SZ AA ALK IND BATT</t>
  </si>
  <si>
    <t>RAYOVAC</t>
  </si>
  <si>
    <t>ALAA-8J (AL-AA)</t>
  </si>
  <si>
    <t>AK10417393</t>
  </si>
  <si>
    <t>01280000043</t>
  </si>
  <si>
    <t>ALAA8J</t>
  </si>
  <si>
    <t>012800000432</t>
  </si>
  <si>
    <t>RAYOVAC ALAA-8J SZAA ALK IND BAT</t>
  </si>
  <si>
    <t>3M 3939-48MMX55M (7000028933) SILVER DUCT TAPE</t>
  </si>
  <si>
    <t>3939-48MMX55M (7000028933)</t>
  </si>
  <si>
    <t>AK10002968</t>
  </si>
  <si>
    <t>05113106975</t>
  </si>
  <si>
    <t>393948MMX55M</t>
  </si>
  <si>
    <t>051131069756</t>
  </si>
  <si>
    <t>3M 393948MMX55M (7000028933) SILVER DUCT TAPE</t>
  </si>
  <si>
    <t>CUL 53008J 1/4-20X1/2 RHMS SLT-PHIL CULLY ROUND HEAD HD MACHINE SCREW JAR</t>
  </si>
  <si>
    <t>CUL</t>
  </si>
  <si>
    <t>53008J</t>
  </si>
  <si>
    <t>08593708106</t>
  </si>
  <si>
    <t>085937081063</t>
  </si>
  <si>
    <t>AK10612758</t>
  </si>
  <si>
    <t>CUL 53008J 1420X12 RHMS SLTPHIL CULLY ROUND HEAD HD MACHINE SCREW JAR</t>
  </si>
  <si>
    <t>PVCFIT 100P40 90D SCH40 ELB 1 IN 90DEG SCH40 PVC COND ELBOW</t>
  </si>
  <si>
    <t>100P40 90D SCH40 ELB</t>
  </si>
  <si>
    <t>AK10432817</t>
  </si>
  <si>
    <t>GRN 645-001 PILOT DRILL 5/8TO2-1/4</t>
  </si>
  <si>
    <t>645-001</t>
  </si>
  <si>
    <t>AK10975381</t>
  </si>
  <si>
    <t>GRN 645001 PILOT DRILL 58 21</t>
  </si>
  <si>
    <t>PAN UTP28X10 859573 CAT6A 28AWG UTP PC CM/LSZH IW 10FT EA</t>
  </si>
  <si>
    <t>PAN</t>
  </si>
  <si>
    <t>UTP28X10</t>
  </si>
  <si>
    <t>AK10715669</t>
  </si>
  <si>
    <t>PAN CFPL6WHY 282595 FACEPLATE 6PT SGLGANG CLASSIC WH EA</t>
  </si>
  <si>
    <t>CFPL6WHY</t>
  </si>
  <si>
    <t>AK10663640</t>
  </si>
  <si>
    <t>TYPE L3: BLWP2 20L ADP GZ10 LP840</t>
  </si>
  <si>
    <t>TYPE</t>
  </si>
  <si>
    <t>L3:</t>
  </si>
  <si>
    <t>LITHONIA LIGHTING</t>
  </si>
  <si>
    <t>TPZ C4CG 432480 1 1/4 IN CONDUIT BODIES - THREADED RIGID C TYPE - ALUMINUM - WITH COVERS &amp; GASKETS</t>
  </si>
  <si>
    <t>TPZ</t>
  </si>
  <si>
    <t>C4CG</t>
  </si>
  <si>
    <t>AK10956490</t>
  </si>
  <si>
    <t xml:space="preserve">SOUTHWIRE </t>
  </si>
  <si>
    <t>PS PT2097-W 974164 SELF TEST PLUGTAIL GFCI RECEP 20A WH</t>
  </si>
  <si>
    <t>PS</t>
  </si>
  <si>
    <t>PT2097-W</t>
  </si>
  <si>
    <t>AK10558391</t>
  </si>
  <si>
    <t>PT2097W</t>
  </si>
  <si>
    <t>PASS &amp; SEYMOUR</t>
  </si>
  <si>
    <t>PS PT2097W 974164 SELF TEST PLUGTAIL GFCI RECEP 20A WH</t>
  </si>
  <si>
    <t>AI 508A 625009 3" COND NIPPLE W/IN</t>
  </si>
  <si>
    <t>AI</t>
  </si>
  <si>
    <t>508A</t>
  </si>
  <si>
    <t>AK10082661</t>
  </si>
  <si>
    <t>INT EK4436SM 1034960 PHOTOCONTROL ELECTMETAL</t>
  </si>
  <si>
    <t>INT</t>
  </si>
  <si>
    <t>EK4436SM</t>
  </si>
  <si>
    <t>ORBIT INDUSTRIES INC BMCS Restocking Fee 30 %</t>
  </si>
  <si>
    <t>ORBIT INDUSTRIES INC</t>
  </si>
  <si>
    <t>BMCS</t>
  </si>
  <si>
    <t>ORBIT INDUSTIRES</t>
  </si>
  <si>
    <t>ORBIT INDUSTRIES INC UMA-LVBS UNIVERSAL MTG. ADAPTER W BACK SUP
Restocking Fee 30 %</t>
  </si>
  <si>
    <t>UMA-LVBS</t>
  </si>
  <si>
    <t>ORBIT INDUSTRIES INC 5AR1G-58 1-GANG ADJUSTABLE RING FOR 5S BOXES
Restocking Fee 30 %</t>
  </si>
  <si>
    <t>5AR1G-58</t>
  </si>
  <si>
    <t>ORBIT INDUSTRIES INC 4AR1G-34 1-GANG ADJUSTABLE RING FOR 4S BOXES
Restocking Fee 30 %</t>
  </si>
  <si>
    <t>4AR1G-34</t>
  </si>
  <si>
    <t>ORBIT INDUSTRIES INC 4AR2G-58 2-G ADJUSTABLE RING FOR 4 SQ
Restocking Fee 30 %</t>
  </si>
  <si>
    <t>4AR2G-58</t>
  </si>
  <si>
    <t>ORBIT INDUSTRIES INC 54058X UNV 4 IN X 4-11/16 IN SQUARE TO OCT RING
Restocking Fee 30 %</t>
  </si>
  <si>
    <t>54058X</t>
  </si>
  <si>
    <t>RIDGID TOOL</t>
  </si>
  <si>
    <t>095691540584</t>
  </si>
  <si>
    <t>RDG 54058 RELEASE BUTTON</t>
  </si>
  <si>
    <t>ORBIT INDUSTRIES INC T5B-200 5 SQ BOX
Restocking Fee 30 %</t>
  </si>
  <si>
    <t>T5B-200</t>
  </si>
  <si>
    <t>ORBIT INDUSTRIES INC SSB-T5 Restocking Fee 30 % SSB FITS 4S 5S OR 5 BOXES ADJ 15-25</t>
  </si>
  <si>
    <t>SSB-T5</t>
  </si>
  <si>
    <t>AK10653503</t>
  </si>
  <si>
    <t xml:space="preserve">RETURN FREIGHT  </t>
  </si>
  <si>
    <t>RETURN FREIGHT</t>
  </si>
  <si>
    <t>FREIGHT</t>
  </si>
  <si>
    <t>MULBERRY METAL PRODUCTS 30283 2G WP BLANK COVER</t>
  </si>
  <si>
    <t>095327302838</t>
  </si>
  <si>
    <t>MULB 30283 WP BLANK CVR</t>
  </si>
  <si>
    <t>GREENLEE-EMERSON PROFESSIONAL TOOLS DTAP6-32 DRILL/TAP 6-32</t>
  </si>
  <si>
    <t>GREENLEE-EMERSON PROFESSIONAL TOOLS</t>
  </si>
  <si>
    <t>DTAP6-32</t>
  </si>
  <si>
    <t>DTAP632</t>
  </si>
  <si>
    <t>AK10976908</t>
  </si>
  <si>
    <t>GREENLEEEMERSON PROFESSIONAL TOOLS DTAP632 DRILLTAP 632</t>
  </si>
  <si>
    <t>GREENLEE-EMERSON PROFESSIONAL TOOLS DTAP8-32 DRILL/TAP 8-32.</t>
  </si>
  <si>
    <t>DTAP8-32</t>
  </si>
  <si>
    <t>DTAP832</t>
  </si>
  <si>
    <t>AK10976909</t>
  </si>
  <si>
    <t>GREENLEEEMERSON PROFESSIONAL TOOLS DTAP832 DRILLTAP 832</t>
  </si>
  <si>
    <t>GENERIC VENDOR-PVCPA PVC-4-20 4 SCH40 COND 20FT</t>
  </si>
  <si>
    <t>GENERIC VENDOR-PVCPA</t>
  </si>
  <si>
    <t>PVC-4-20</t>
  </si>
  <si>
    <t>GENERIC VENDOR-TUBPA 3/4-EMT-BLU 3/4-STEEL THINWALL CONDUIT BLUE</t>
  </si>
  <si>
    <t>GENERIC VENDOR-TUBPA</t>
  </si>
  <si>
    <t>3/4-EMT-BLU</t>
  </si>
  <si>
    <t>GENERIC VENDOR-TUBPA 1-EMT-BLU 1-STEEL THINWALL CONDUIT BLUE</t>
  </si>
  <si>
    <t>1-EMT-BLU</t>
  </si>
  <si>
    <t>BRIDGEPORT FITTINGS INCORPORATED 323 1 IN PLASTIC BSHNG</t>
  </si>
  <si>
    <t>BRIDGEPORT FITTINGS INCORPORATED</t>
  </si>
  <si>
    <t>AK10623325</t>
  </si>
  <si>
    <t>BRIDGEPORT FITTING</t>
  </si>
  <si>
    <t>COOPER B-LINE SYSTEMS B22SH-120GLV CHNL 1-5/8X1-5/8 9/16X1-1/8 SL HL 12GA</t>
  </si>
  <si>
    <t>COOPER B-LINE SYSTEMS</t>
  </si>
  <si>
    <t>B22SH-120GLV</t>
  </si>
  <si>
    <t>B22SH120GLV</t>
  </si>
  <si>
    <t>COOPER B22SH120GLV BLINE SYSTEMS CHNL 158X158 916X118 SL HL 12GA</t>
  </si>
  <si>
    <t>COOPER CROUSE-HINDS DIVISION 496 10 3 EMT AND RGD 2 HOLE STRAP</t>
  </si>
  <si>
    <t>COOPER CROUSE-HINDS DIVISION</t>
  </si>
  <si>
    <t>496 10</t>
  </si>
  <si>
    <t>AK10279919</t>
  </si>
  <si>
    <t>CROUSE HINDS</t>
  </si>
  <si>
    <t>GENERIC VENDOR-TUBPA 1/2-EMT 1/2-STEEL THINWALL CONDUIT</t>
  </si>
  <si>
    <t>1/2-EMT</t>
  </si>
  <si>
    <t>AK10431628</t>
  </si>
  <si>
    <t>ERICO INTERNATIONAL CORPORATION 3000037EG CLAMPBEAM3/8 MAL</t>
  </si>
  <si>
    <t>ERICO INTERNATIONAL CORPORATION</t>
  </si>
  <si>
    <t>3000037EG</t>
  </si>
  <si>
    <t>AK10627919</t>
  </si>
  <si>
    <t>ERICO</t>
  </si>
  <si>
    <t>ERICO INTERNATIONAL CORPORATION 3000037EG CLAMPBEAM38 MAL</t>
  </si>
  <si>
    <t>COOPER CROUSE-HINDS DIVISION 451 3/4 EMT SS CONN</t>
  </si>
  <si>
    <t>AK10279760</t>
  </si>
  <si>
    <t>EATON DISTRIBUTION EQUIP</t>
  </si>
  <si>
    <t>GENERIC VENDOR WIRE-WYRPA THHN-10-STR-GRN-500S THHN/THWN-2 19 STR 600V 90DEG CU</t>
  </si>
  <si>
    <t>GENERIC VENDOR WIRE-WYRPA</t>
  </si>
  <si>
    <t>THHN-10-STR-GRN-500S</t>
  </si>
  <si>
    <t>AK10438157</t>
  </si>
  <si>
    <t>GENERIC WIRE</t>
  </si>
  <si>
    <t>GENERIC VENDOR-TUBPA 3/4-EMT 3/4-STEEL THINWALL CONDUIT</t>
  </si>
  <si>
    <t>3/4-EMT</t>
  </si>
  <si>
    <t>DOTTIE CO TBC44 L H 1/4X4 TOGGLE BOLT</t>
  </si>
  <si>
    <t>DOTTIE CO</t>
  </si>
  <si>
    <t>TBC44 L H</t>
  </si>
  <si>
    <t>AK10589347</t>
  </si>
  <si>
    <t>TBC44</t>
  </si>
  <si>
    <t>LH DOTTIE</t>
  </si>
  <si>
    <t>DOTTIE TBC44 1/4X4 TOGGLE BOLT</t>
  </si>
  <si>
    <t>DOTTIE</t>
  </si>
  <si>
    <t>COOPER CROUSE-HINDS DIVISION LB15 CGN 1/2 RGD LB COND BODY CVRAND GSKT AL</t>
  </si>
  <si>
    <t>LB15 CGN</t>
  </si>
  <si>
    <t>AK10297646</t>
  </si>
  <si>
    <t>COOPER CROUSE-HINDS DIVISION ST 2 CH MYERS 3/4 ZINC CONDUIT HUB</t>
  </si>
  <si>
    <t>ST 2</t>
  </si>
  <si>
    <t>AK10301395</t>
  </si>
  <si>
    <t>BRIDGEPORT FITTINGS INCORPORATED 1061 3/4 IN 1/2 IN REDUCING WASHER</t>
  </si>
  <si>
    <t>AK10622606</t>
  </si>
  <si>
    <t>BRIDGEPORT FITTINGS INCORPORATED 407-DC2 1/2 IN SQUEEZE CONN</t>
  </si>
  <si>
    <t>407-DC2</t>
  </si>
  <si>
    <t>AK10623433</t>
  </si>
  <si>
    <t>407DC2</t>
  </si>
  <si>
    <t>BRIDGEPORT FITTINGS INCORPORATED 407DC2 12 IN SQUEEZE CONN</t>
  </si>
  <si>
    <t>COOPER B-LINE SYSTEMS ATR 1/2X120 ZN 1/2IN ALL THRD ROD ZN 120IN</t>
  </si>
  <si>
    <t>ATR 1/2X120 ZN</t>
  </si>
  <si>
    <t>HOFFMAN ENCLOSURES, INC ASG12X12X4NK PULL BOX SCREW COVER ITEM#: P/N: AK10637142</t>
  </si>
  <si>
    <t>HOFFMAN ENCLOSURES, INC</t>
  </si>
  <si>
    <t>ASG12X12X4NK</t>
  </si>
  <si>
    <t>AK10637142</t>
  </si>
  <si>
    <t>HOFFMAN</t>
  </si>
  <si>
    <t>HOFFMAN ENCLOSURES INC ASG12X12X4NK PULL BOX SCREW COVER ITEM#: PN: AK10637142</t>
  </si>
  <si>
    <t>COOPER CROUSE-HINDS DIVISION 1651RT 3/4 EMT CMP CONN RAINTIGHT INSULATED</t>
  </si>
  <si>
    <t>1651RT</t>
  </si>
  <si>
    <t>AK10278707</t>
  </si>
  <si>
    <t>COOPER CROUSEHINDS DIVISION 1651RT 34 EMT CMP CONN RAINTIGHT INSULATED</t>
  </si>
  <si>
    <t>COOPER CROUSE-HINDS DIVISION 661RT 3/4 EMT CMP CPL RAINTIGHT</t>
  </si>
  <si>
    <t>661RT</t>
  </si>
  <si>
    <t>AK10281309</t>
  </si>
  <si>
    <t>COOPER CROUSEHINDS DIVISION 661RT 34 EMT CMP CPL RAINTIGHT</t>
  </si>
  <si>
    <t>GENERIC VENDOR WIRE-WYRPA THHN-10-STR-BLU-500S THHN/THWN-2 19 STR 600V 90DEG CU</t>
  </si>
  <si>
    <t>THHN-10-STR-BLU-500S</t>
  </si>
  <si>
    <t>AK10438148</t>
  </si>
  <si>
    <t>GENERIC VENDOR WIRE-WYRPA THHN-10-STR-WHT-500S THHN/THWN-2 19 STR 600V 90DEG CU</t>
  </si>
  <si>
    <t>THHN-10-STR-WHT-500S</t>
  </si>
  <si>
    <t>AK10438177</t>
  </si>
  <si>
    <t>GENERIC VENDOR-TUBPA UA 3/4 GRY CUT REEL UL TYPE LIQUID TIGHT</t>
  </si>
  <si>
    <t>UA 3/4 GRY CUT REEL</t>
  </si>
  <si>
    <t>AK10433217</t>
  </si>
  <si>
    <t>COOPER CROUSE-HINDS DIVISION LT75 3/4 STR L/T CONN</t>
  </si>
  <si>
    <t>LT75</t>
  </si>
  <si>
    <t>AK10298280</t>
  </si>
  <si>
    <t>MADISON LT-75 3/4 RGD COND BODY</t>
  </si>
  <si>
    <t>COOPER CROUSE-HINDS DIVISION LT7590 3/4 90D L/T CONN</t>
  </si>
  <si>
    <t>LT7590</t>
  </si>
  <si>
    <t>AK10298283</t>
  </si>
  <si>
    <t>REEL GENERIC VENDOR-WYRPC WELDING-2-BLK-CUT 600V 636STR WELD BLK</t>
  </si>
  <si>
    <t>REEL GENERIC VENDOR-WYRPC</t>
  </si>
  <si>
    <t>WELDING-2-BLK-CUT</t>
  </si>
  <si>
    <t>GENERIC VENDOR-WYRPC</t>
  </si>
  <si>
    <t>ZN COOPER B-LINE SYSTEMS ATR 1/2X120 1/2IN ALL THRD ROD ZN 120IN</t>
  </si>
  <si>
    <t>ZN COOPER B-LINE SYSTEMS</t>
  </si>
  <si>
    <t>ATR 1/2X120</t>
  </si>
  <si>
    <t>COOPER B-LINE SYSTEMS B441-22ZN BM CLM 3/4IN MAX FLNG-13/16IN-1 5/8IN</t>
  </si>
  <si>
    <t>B441-22ZN</t>
  </si>
  <si>
    <t>B44122ZN</t>
  </si>
  <si>
    <t>AK10249104</t>
  </si>
  <si>
    <t>COOPER BLINE SYSTEMS B44122ZN BM CLM 34IN MAX FLNG1316IN1 58IN</t>
  </si>
  <si>
    <t>COOPER B-LINE SYSTEMS B172ZN 4 HLE SPLICE CLV-B22/B52A CHNL ZN PLTD</t>
  </si>
  <si>
    <t>COOPER BLINE SYSTEMS B172ZN 4 HLE SPLICE CLVB22B52A CHNL ZN PLTD</t>
  </si>
  <si>
    <t>COOPER B-LINE SYSTEMS N225ZN SPRING NUT 1/2IN13 THRD 1/2IN NUT</t>
  </si>
  <si>
    <t>N225ZN</t>
  </si>
  <si>
    <t>AK10253721</t>
  </si>
  <si>
    <t>COOPER BLINE SYSTEMS N225ZN SPRING NUT 12IN13 THRD 12IN NUT</t>
  </si>
  <si>
    <t>COILPAK SOUTHWIRE COMPANY THHN 10 STR OR 1250 SIMPULL 58025205</t>
  </si>
  <si>
    <t>COILPAK SOUTHWIRE COMPANY</t>
  </si>
  <si>
    <t>THHN 10 STR OR 1250 SIMPULL</t>
  </si>
  <si>
    <t>AK10953576</t>
  </si>
  <si>
    <t>032886912450</t>
  </si>
  <si>
    <t>SOU 58025205 10-19 CU THHN ORG</t>
  </si>
  <si>
    <t>HUBBELL WIRING DEVICES HBL2610 LKG RCPT 30A 125V L5-30R BK</t>
  </si>
  <si>
    <t>HUBBELL WIRING DEVICES</t>
  </si>
  <si>
    <t>HBL2610</t>
  </si>
  <si>
    <t>AK10502155</t>
  </si>
  <si>
    <t>HUBBELL WIRING DEVICEKELLEMS</t>
  </si>
  <si>
    <t>HUBBELL WIRING DEVICES HBL2610 LKG RCPT 30A 125V L530R BK</t>
  </si>
  <si>
    <t>HUBBELL WIRING DEVICES HBL2620 LKG RCPT 30A 250V L6-30R BK</t>
  </si>
  <si>
    <t>HBL2620</t>
  </si>
  <si>
    <t>AK10502195</t>
  </si>
  <si>
    <t>HUBBELL WIRING DEVICES HBL2620 LKG RCPT 30A 250V L630R BK</t>
  </si>
  <si>
    <t>COOPER B-LINE SYSTEMS B202ZN SQ/WASH 9/16IN HOLE 1/2IN BOLT ZN PLTD</t>
  </si>
  <si>
    <t>B202ZN</t>
  </si>
  <si>
    <t>AK10246165</t>
  </si>
  <si>
    <t>COOPER BLINE SYSTEMS B202ZNSQWASH 916IN HOLE 12IN BOLT ZN PLTD</t>
  </si>
  <si>
    <t>L H DOTTIE CO FW12 1/2 FLAT WASHERS ZINC PLATED</t>
  </si>
  <si>
    <t>L H DOTTIE CO</t>
  </si>
  <si>
    <t>FW12</t>
  </si>
  <si>
    <t>BURNDY LLC YGHP34C29 250-500 TO 3/0-250 GRN C</t>
  </si>
  <si>
    <t>BURNDY LLC</t>
  </si>
  <si>
    <t>YGHP34C29</t>
  </si>
  <si>
    <t>AK10471457</t>
  </si>
  <si>
    <t>BURNDY</t>
  </si>
  <si>
    <t>BURNDY LLC YGHP34C29 250500 TO 30250 GRN C</t>
  </si>
  <si>
    <t>ARLINGTON INDUSTRIES 5010AST SNAPTITE CONN W/INS TH</t>
  </si>
  <si>
    <t>ARLINGTON INDUSTRIES</t>
  </si>
  <si>
    <t>5010AST</t>
  </si>
  <si>
    <t>AK10082642</t>
  </si>
  <si>
    <t>018997005175</t>
  </si>
  <si>
    <t>ARLINGTON INDUSTRIES 5010AST SNAPTITE CONN WINS THAK10082642</t>
  </si>
  <si>
    <t>L H DOTTIE CO CWC6 6FT CEILING WIRE W/ PIN&amp; CLIP</t>
  </si>
  <si>
    <t>CWC6</t>
  </si>
  <si>
    <t>AK10586966</t>
  </si>
  <si>
    <t>BRIDGEPORT FITTINGS INCORPORATED 806-DC2 3/4 IN ANGLE CONN</t>
  </si>
  <si>
    <t>806-DC2</t>
  </si>
  <si>
    <t>AK10623834</t>
  </si>
  <si>
    <t>806DC2</t>
  </si>
  <si>
    <t>BRIDGEPORT FITTINGS INCORPORATED 806DC2 34 IN ANGLE CONN</t>
  </si>
  <si>
    <t>COOPER CROUSE-HINDS DIVISION TP512 4SQ 1/2D COVER FOR 1-SW</t>
  </si>
  <si>
    <t>TP512</t>
  </si>
  <si>
    <t>AK10302366</t>
  </si>
  <si>
    <t>COOPER CROUSEHINDS DIVISION TP512 4SQ 12D COVER FOR 1SW</t>
  </si>
  <si>
    <t>COIL GENERIC VENDOR-TUBPA FLEXALUM 1/2-100FT 1/2-ALUMINUM FLEXIBLE CONDUIT</t>
  </si>
  <si>
    <t>COIL GENERIC VENDOR-TUBPA</t>
  </si>
  <si>
    <t>FLEXALUM 1/2-100FT</t>
  </si>
  <si>
    <t>AK10432954</t>
  </si>
  <si>
    <t>MILWAUKEE ELEC TOOL 48-28-4008 BIT EXTENSION 3/8</t>
  </si>
  <si>
    <t>MILWAUKEE ELEC TOOL</t>
  </si>
  <si>
    <t>48-28-4008</t>
  </si>
  <si>
    <t>AK10609097</t>
  </si>
  <si>
    <t>045242225811</t>
  </si>
  <si>
    <t>MILW 48-28-4008 3/8 EXTENSION BIT</t>
  </si>
  <si>
    <t>COOPER CROUSE-HINDS DIVISION 511 3/4 RGD CLMP IRN</t>
  </si>
  <si>
    <t>AK10280741</t>
  </si>
  <si>
    <t>INTERMATIC INC WP3100C 1G VERT/HORIZ 2-3/4IN W/INSERTS FLEX GRD</t>
  </si>
  <si>
    <t>INTERMATIC INC</t>
  </si>
  <si>
    <t>WP3100C</t>
  </si>
  <si>
    <t>AK10525394</t>
  </si>
  <si>
    <t>INTERMATIC</t>
  </si>
  <si>
    <t>078275106093</t>
  </si>
  <si>
    <t>INTERMATIC INC WP3100C 1G VERTHORIZ 234IN WINSERTS FLEX GRD</t>
  </si>
  <si>
    <t>INTERMATIC INC WP1220C DISPLAY PK 2 GANG 2-1/4IN DEEP W/GFCI DU</t>
  </si>
  <si>
    <t>WP1220C</t>
  </si>
  <si>
    <t>AK10525383</t>
  </si>
  <si>
    <t>078275072695</t>
  </si>
  <si>
    <t>INTERMATIC INC WP1220C DISPLAY PK 2 GANG 214IN DEEP WGFCI DU</t>
  </si>
  <si>
    <t>REEL GENERIC VENDOR-WYRPC SOOW-10-4-BLK-CUT 90 DEGREE C 600V</t>
  </si>
  <si>
    <t>SOOW-10-4-BLK-CUT</t>
  </si>
  <si>
    <t>L H DOTTIE CO CWC10 10 FT. CEILING WIRE WITHPIN AND CLIP</t>
  </si>
  <si>
    <t>CWC10</t>
  </si>
  <si>
    <t>AK10586958</t>
  </si>
  <si>
    <t>L H DOTTIE CO CH1212 #12 JACK CHAIN 100FT BOX BRIGHT GALV STL</t>
  </si>
  <si>
    <t>CH1212</t>
  </si>
  <si>
    <t>AK10586902</t>
  </si>
  <si>
    <t>DOTTIE CH1212 SINGLE JACK CHAIN</t>
  </si>
  <si>
    <t>COOPER CROUSE-HINDS DIVISION TP708 HOLDIT SW BOX SUPPORTS FOR 1IN MAX</t>
  </si>
  <si>
    <t>TP708</t>
  </si>
  <si>
    <t>AK10302565</t>
  </si>
  <si>
    <t>COOPER CROUSEHINDS DIVISION TP708 HOLDIT SW BOX SUPPORTS FOR 1IN MAX</t>
  </si>
  <si>
    <t>L H DOTTIE CO RMC1032112 10-32X1-1/2 ROUNDHD SLOTED/PHILLIP ZIN</t>
  </si>
  <si>
    <t>RMC1032112</t>
  </si>
  <si>
    <t>AK10588770</t>
  </si>
  <si>
    <t>DOTTIE RMC1032112 10-32X1-1/2 M/S</t>
  </si>
  <si>
    <t>COOPER CROUSE-HINDS DIVISION 455 2 EMT SS CONN</t>
  </si>
  <si>
    <t>AK10279800</t>
  </si>
  <si>
    <t>BRIDGEPORT FITTINGS INCORPORATED 410-DC2 1 IN SQUEEZE CONN</t>
  </si>
  <si>
    <t>410-DC2</t>
  </si>
  <si>
    <t>AK10623443</t>
  </si>
  <si>
    <t>410DC2</t>
  </si>
  <si>
    <t>BRIDGEPORT FITTINGS INCORPORATED 410DC2 1 IN SQUEEZE CONN</t>
  </si>
  <si>
    <t>RACO INCORPORATED 590 SWITCH BOX 3X2 3-1/2DP 1/2 KO</t>
  </si>
  <si>
    <t>RACO INCORPORATED</t>
  </si>
  <si>
    <t>AK10518128</t>
  </si>
  <si>
    <t>RACO</t>
  </si>
  <si>
    <t>COOPER CROUSE-HINDS DIVISION RE21 3/4 TO 1/2 REDUCING BUSH</t>
  </si>
  <si>
    <t>RE21</t>
  </si>
  <si>
    <t>AK10300774</t>
  </si>
  <si>
    <t>GENERIC VENDOR-TUBPA 1/2-GALV 1/2-RIGID CONDUIT</t>
  </si>
  <si>
    <t>1/2-GALV</t>
  </si>
  <si>
    <t>AK10431629</t>
  </si>
  <si>
    <t>GENERIC VENDOR-TUBPA 3/4-GALV 3/4-RIGID CONDUIT</t>
  </si>
  <si>
    <t>3/4-GALV</t>
  </si>
  <si>
    <t>AK10432116</t>
  </si>
  <si>
    <t>HUBBELL POWER SYSTEMS 625BTKU2TS ELBOW 25KV 600A KIT SHEAR BOLT TP W/SA</t>
  </si>
  <si>
    <t>HUBBELL POWER SYSTEMS</t>
  </si>
  <si>
    <t>625BTKU2TS</t>
  </si>
  <si>
    <t>COOPER CROUSE-HINDS DIVISION T15 CGN 1/2 RGD T COND BODY CVR AND GSKT AL</t>
  </si>
  <si>
    <t>T15 CGN</t>
  </si>
  <si>
    <t>AK10301566</t>
  </si>
  <si>
    <t>COOPER CROUSE-HINDS DIVISION TP7940 1/2 ALUM THREADED PLUG</t>
  </si>
  <si>
    <t>TP7940</t>
  </si>
  <si>
    <t>AK10302776</t>
  </si>
  <si>
    <t>COOPER CROUSEHINDS DIVISION TP7940 12 ALUM THREADED PLUG</t>
  </si>
  <si>
    <t>GENERIC VENDOR WIRE-WYRPA THHN-14-STR-RED-500S THHN/THWN-2 19 STR 600V 90DEG CU</t>
  </si>
  <si>
    <t>THHN-14-STR-RED-500S</t>
  </si>
  <si>
    <t>AK10438522</t>
  </si>
  <si>
    <t>3M CO. - ELECTRICAL MARKETS DIV. 165BK4A VINYL ELECT TAPE 165 BLK 3/4IN X 60FT</t>
  </si>
  <si>
    <t>3M CO. - ELECTRICAL MARKETS DIV.</t>
  </si>
  <si>
    <t>165BK4A</t>
  </si>
  <si>
    <t>AK10001778</t>
  </si>
  <si>
    <t>HOFFMAN ENCLOSURES, INC A30R3012HCR TYPE 3R ENCLOSURE HNG COVER</t>
  </si>
  <si>
    <t>A30R3012HCR</t>
  </si>
  <si>
    <t>AK10634760</t>
  </si>
  <si>
    <t>HOFFMAN ENCLOSURES INC A30R3012HCR TYPE 3R ENCLOSURE HNG COVER</t>
  </si>
  <si>
    <t>GENERIC VENDOR WIRE-WYRPA THHN-10-STR-GRY-500S THHN/THWN-2 19 STR 600V 90DEG CU</t>
  </si>
  <si>
    <t>THHN-10-STR-GRY-500S</t>
  </si>
  <si>
    <t>AK10438162</t>
  </si>
  <si>
    <t>GENERIC VENDOR WIRE-WYRPA THHN-14-STR-PNK-500S THHN/THWN-2 19 STR 600V 90DEG CU</t>
  </si>
  <si>
    <t>THHN-14-STR-PNK-500S</t>
  </si>
  <si>
    <t>AK10438518</t>
  </si>
  <si>
    <t>GENERIC VENDOR WIRE-WYRPA THHN-14-STR-PUR-500S THHN/THWN-2 19 STR 600V 90DEG CU</t>
  </si>
  <si>
    <t>THHN-14-STR-PUR-500S</t>
  </si>
  <si>
    <t>AK10438520</t>
  </si>
  <si>
    <t>GENERIC VENDOR-PVCPA PVC-6 6 SCH40 COND 10FT</t>
  </si>
  <si>
    <t>PVC-6</t>
  </si>
  <si>
    <t>AK10433131</t>
  </si>
  <si>
    <t>COOPER CROUSE-HINDS DIVISION RE109 4 TO 3 1/2 REDUCING BUSH</t>
  </si>
  <si>
    <t>RE109</t>
  </si>
  <si>
    <t>AK10300768</t>
  </si>
  <si>
    <t>COOPER CROUSEHINDS DIVISION RE109 4 TO 3 12 REDUCING BUSH</t>
  </si>
  <si>
    <t>GENERIC VENDOR WIRE-WYRPA THHN-AL-1/0-STR-BLK-CUT REEL THHN/THWN-2 600V ALUM COND</t>
  </si>
  <si>
    <t>THHN-AL-1/0-STR-BLK-CUT REEL</t>
  </si>
  <si>
    <t>GENERIC VENDOR WIRE-WYRPA THHN-AL-1/0-STR-RED-CUT REEL THHN/THWN-2 600V ALUM COND</t>
  </si>
  <si>
    <t>THHN-AL-1/0-STR-RED-CUT REEL</t>
  </si>
  <si>
    <t>GENERIC VENDOR WIRE-WYRPA THHN-AL-1/0-STR-BLU-CUT REEL THHN/THWN-2 600V ALUM COND</t>
  </si>
  <si>
    <t>THHN-AL-1/0-STR-BLU-CUT REEL</t>
  </si>
  <si>
    <t>GENERIC VENDOR WIRE-WYRPA THHN-AL-1/0-STR-WHT-CUT REEL THHN/THWN-2 600V ALUM COND</t>
  </si>
  <si>
    <t>THHN-AL-1/0-STR-WHT-CUT REEL</t>
  </si>
  <si>
    <t>GENERIC VENDOR WIRE-WYRPA THHN-8-STR-GRN-CUT REEL THHN/THWN-2 19 STR 600V 90DEG CU</t>
  </si>
  <si>
    <t>THHN-8-STR-GRN-CUT REEL</t>
  </si>
  <si>
    <t>COOPER CROUSE-HINDS DIVISION LL57 1 1/2 NPT IRON LL FORM 7COND BDY</t>
  </si>
  <si>
    <t>LL57</t>
  </si>
  <si>
    <t>COOPER CROUSE-HINDS DIVISION 570G 1 1/2 SHT STL FORM 7 COVW/ GSKT</t>
  </si>
  <si>
    <t>570G</t>
  </si>
  <si>
    <t>JCB 510-56 10842499 FORKLIFT VARIABLE REACH 10000# 50'-62'
Serial: 2753709 Meter out: 6267.00 Meter in: . 00</t>
  </si>
  <si>
    <t>JCB</t>
  </si>
  <si>
    <t>510-56</t>
  </si>
  <si>
    <t>GENERIC VENDOR-TUBPA 1-1/2 X CLOSE 1-1/2 X CLOSE-GALVANIZED CONDUIT NIPPLE</t>
  </si>
  <si>
    <t>1-1/2 X CLOSE</t>
  </si>
  <si>
    <t>DELIVERY CHARGE</t>
  </si>
  <si>
    <t>BRIDGEPORT FITTINGS INCORPORATED 105-DC 1 1/2 IN LOCKNUT</t>
  </si>
  <si>
    <t>105-DC</t>
  </si>
  <si>
    <t>105DC</t>
  </si>
  <si>
    <t>BRDGPORT 105-DC 1-1/2 D/C LOCKNUT</t>
  </si>
  <si>
    <t>BRIDGEPORT FITTINGS INCORPORATED 325 1 1/2 IN PLASTIC BSHNG</t>
  </si>
  <si>
    <t>PICKUP CHARGE</t>
  </si>
  <si>
    <t>HOFFMAN ENCLOSURES, INC AS150 HOLE SEAL FOR 1 1 2-IN CONDUIT 2.50 DIA.</t>
  </si>
  <si>
    <t>AS150</t>
  </si>
  <si>
    <t>AK10636920</t>
  </si>
  <si>
    <t>HOFFMAN ENCLOSURES INC AS150 HOLE SEAL FOR 1 1 2IN CONDUIT 2.50 DIA</t>
  </si>
  <si>
    <t xml:space="preserve"> H-3689GR ULINE TRASH CAN - 55 GALLON, GRAY</t>
  </si>
  <si>
    <t xml:space="preserve"> H-4201GR LID FOR 55 GALLON ULINE TRASH CAN - GRAY</t>
  </si>
  <si>
    <t xml:space="preserve"> FUSE-LC9SMU-6 FUSE-LC9SMU-6 FO CONNECTOR LC SM - BLUE PACK OF 6</t>
  </si>
  <si>
    <t>FUSE-LC9SMU-6</t>
  </si>
  <si>
    <t xml:space="preserve"> FUSE-SC9M50L-6 FO CONNECTOR SC MM - AQUA PACK OF 6</t>
  </si>
  <si>
    <t>FUSE-SC9M50L-6</t>
  </si>
  <si>
    <t xml:space="preserve"> 5F100-6LC 5F100-6LC 6F SM SC DUP ADAPTER PANEL - BLUE</t>
  </si>
  <si>
    <t>ADAPTER</t>
  </si>
  <si>
    <t>ALLEN TEL PRODUCTS INCORPORATED GBLC2-D1-15 LC-LC DUPLEX SM 15M</t>
  </si>
  <si>
    <t>ALLEN TEL PRODUCTS INCORPORATED</t>
  </si>
  <si>
    <t>GBLC2-D1-15</t>
  </si>
  <si>
    <t>ALLEN TEL PRODUCTS</t>
  </si>
  <si>
    <t>LEVITON MANUFACTURING COMPANY, INC 5F100-2QL PLT COMP LC 12F ZIR AQU</t>
  </si>
  <si>
    <t>LEVITON MANUFACTURING COMPANY, INC</t>
  </si>
  <si>
    <t>5F100-2QL</t>
  </si>
  <si>
    <t>5F1002QL</t>
  </si>
  <si>
    <t>LEVITON</t>
  </si>
  <si>
    <t>078477583951</t>
  </si>
  <si>
    <t>AK10574646</t>
  </si>
  <si>
    <t>5F1002QL LEVITON MANUFACTURING COMPANY INC PLT COMP LC 12F ZIR AQU</t>
  </si>
  <si>
    <t xml:space="preserve">BERK-TEK LLC 6P4P24-YL-S-BER-AP </t>
  </si>
  <si>
    <t>BERK-TEK LLC</t>
  </si>
  <si>
    <t>6P4P24-YL-S-BER-AP</t>
  </si>
  <si>
    <t>BERK TEK</t>
  </si>
  <si>
    <t>UCL SWIFT AMERICAS LCS-SM-UPC-09-SA SPLICE ON CONN LC SIMPLEX SM UPC 900 MIC</t>
  </si>
  <si>
    <t>UCL SWIFT AMERICAS</t>
  </si>
  <si>
    <t>LCS-SM-UPC-09-SA</t>
  </si>
  <si>
    <t>SIMPLEX</t>
  </si>
  <si>
    <t>L H DOTTIE CO TBC83 1/8X3 TOGGLE BOLT</t>
  </si>
  <si>
    <t>TBC83</t>
  </si>
  <si>
    <t>AK10589350</t>
  </si>
  <si>
    <t>DOTTIE TBC83 1/8X3 TOGGLE BOLT</t>
  </si>
  <si>
    <t>3M CO. - ELECTRICAL MARKETS DIV. 35-GRAY-3/4X66FT VINYL COLOR CODING TAPE 3/4 X 66</t>
  </si>
  <si>
    <t>35-GRAY-3/4X66FT</t>
  </si>
  <si>
    <t>AK10002821</t>
  </si>
  <si>
    <t>35GRAY34X66FT</t>
  </si>
  <si>
    <t>054007000723</t>
  </si>
  <si>
    <t>3M CO. ELECTRICAL MARKETS DIV. 35GRAY34X66FT VINYL COLOR CODING TAPE 34 X 66</t>
  </si>
  <si>
    <t>VELCRO USA INCORPORATED 31086 3/4IN VELCRO BLK 25YDS</t>
  </si>
  <si>
    <t>VELCRO USA INCORPORATED</t>
  </si>
  <si>
    <t>AK10984334</t>
  </si>
  <si>
    <t>IDEAL INDUSTRIES</t>
  </si>
  <si>
    <t>IDEAL 31-086 50FT FISH TAPE</t>
  </si>
  <si>
    <t>COMMSCOPE TECHNOLOGIES LLC FEWLCLC42-JXF010 TERASPEED LC/LC F PTCHCRD 10FT COO:India</t>
  </si>
  <si>
    <t>COMMSCOPE TECHNOLOGIES LLC</t>
  </si>
  <si>
    <t>FEWLCLC42-JXF010</t>
  </si>
  <si>
    <t>COMMSCOPE SYSTIMAX</t>
  </si>
  <si>
    <t>HUBBELL LENOIR CITY INC PG2436Z7144N3 ASSY T15 OB 24X36X42 MNDOT TMS</t>
  </si>
  <si>
    <t>HUBBELL LENOIR CITY INC</t>
  </si>
  <si>
    <t>PG2436Z7144N3</t>
  </si>
  <si>
    <t>HUBBELL LENOIR CITY</t>
  </si>
  <si>
    <t>HUBBELL LENOIR CITY INC PG4872Z5334N3 ASSY T15 OB 48X72 MN DOT TMS</t>
  </si>
  <si>
    <t>PG4872Z5334N3</t>
  </si>
  <si>
    <t>GENERIC VENDOR-WYRPS 4-4C-DBLC-CUT REEL DIRECT BURIED LIGHTING CABLE</t>
  </si>
  <si>
    <t>GENERIC VENDOR-WYRPS</t>
  </si>
  <si>
    <t>4-4C-DBLC-CUT REEL</t>
  </si>
  <si>
    <t>HUBBELL LENOIR CITY INC PG2436E503 24X36 GRADE ADJUSTABLE EXTENSION RING</t>
  </si>
  <si>
    <t>PG2436E503</t>
  </si>
  <si>
    <t>AK10473752</t>
  </si>
  <si>
    <t>C2G C2G10377 6FT/1.8M ULTRA FLEXIBLE HDMI CABLE 4K</t>
  </si>
  <si>
    <t>C2G</t>
  </si>
  <si>
    <t>C2G10377</t>
  </si>
  <si>
    <t>C2G CG28102 2M USB 2.0 A/B CBL BLK</t>
  </si>
  <si>
    <t>CG28102</t>
  </si>
  <si>
    <t>GENERIC VENDOR WIRE-WYRPA MC ALUM 12/2 250CL MC ALUM 12/2 SOL COIL</t>
  </si>
  <si>
    <t>MC ALUM 12/2 250CL</t>
  </si>
  <si>
    <t>PANDUIT CORP CBX4WH-AY MIN COM W/TAPE 4POS</t>
  </si>
  <si>
    <t>PANDUIT CORP</t>
  </si>
  <si>
    <t>CBX4WH-AY</t>
  </si>
  <si>
    <t>PANDUIT</t>
  </si>
  <si>
    <t>INDUSTRIAL CONNECTIONS &amp; SOLUTIONS, U065NA1010 60A AC DISC NF W/20A GFI</t>
  </si>
  <si>
    <t>INDUSTRIAL CONNECTIONS &amp; SOLUTIONS,</t>
  </si>
  <si>
    <t>U065NA1010</t>
  </si>
  <si>
    <t>INDUSTRIAL CONNECTIONS &amp; SOLUTIONS</t>
  </si>
  <si>
    <t>PANDUIT CORP CFPL6WHY CLASSIC FACEPLATE W/ LABEL</t>
  </si>
  <si>
    <t>GENERIC VENDOR-TUBPA UA 1/2 GRY CUT REEL UL TYPE LIQUID TIGHT</t>
  </si>
  <si>
    <t>UA 1/2 GRY CUT REEL</t>
  </si>
  <si>
    <t>AK10433212</t>
  </si>
  <si>
    <t>WP804-1.00L_SEMTRON INC WP804-1.00L SPLIT PLATE</t>
  </si>
  <si>
    <t>SEMTRON INC</t>
  </si>
  <si>
    <t>SEMTRON</t>
  </si>
  <si>
    <t>COOPER CROUSE-HINDS DIVISION LT5090 1/2 90D L/T CONN</t>
  </si>
  <si>
    <t>LT5090</t>
  </si>
  <si>
    <t>AK10298259</t>
  </si>
  <si>
    <t>COOPER CROUSEHINDS DIVISION LT5090 12 90D LT CONN</t>
  </si>
  <si>
    <t>COOPER CROUSE-HINDS DIVISION LT50 1/2 STR L/T CONN</t>
  </si>
  <si>
    <t>LT50</t>
  </si>
  <si>
    <t>AK10298254</t>
  </si>
  <si>
    <t>MADISON LT-50 1/2 RGD COND BODY</t>
  </si>
  <si>
    <t>WP804-1.500L_SEMTRON INC WP804-1.500L SPLIT PLATE 2IN CUT OUT</t>
  </si>
  <si>
    <t>SCHNEIDER ELECTRIC USA INC QOB230 CB 120/240V 30A/2P BOLT ON</t>
  </si>
  <si>
    <t>SCHNEIDER ELECTRIC USA INC</t>
  </si>
  <si>
    <t>QOB230</t>
  </si>
  <si>
    <t>AK10994415</t>
  </si>
  <si>
    <t>SCHNEIDER ELECTRIC</t>
  </si>
  <si>
    <t>3M CO. - ELECTRICAL MARKETS DIV. CT8NT50-C 8IN NAT 50 LB CABLE TIE-100BAG (06226)</t>
  </si>
  <si>
    <t>CT8NT50-C</t>
  </si>
  <si>
    <t>AK10005679</t>
  </si>
  <si>
    <t>CT8NT50C</t>
  </si>
  <si>
    <t>051128592977</t>
  </si>
  <si>
    <t>3M CO. ELECTRICAL MARKETS DIV. CT8NT50C 8IN NAT 50 LB CABLE TIE100BAG (06226)</t>
  </si>
  <si>
    <t>SCHNEIDER ELECTRIC USA INC QOB120 CB 120/240V 20A/1P BOLT ON</t>
  </si>
  <si>
    <t>QOB120</t>
  </si>
  <si>
    <t>AK10994411</t>
  </si>
  <si>
    <t>PANDUIT CORP TM2S8-C CABLE TIE BASE SCREW MNT (M-I-S TIES)</t>
  </si>
  <si>
    <t>TM2S8-C</t>
  </si>
  <si>
    <t>AK10714034</t>
  </si>
  <si>
    <t>TM2S8C</t>
  </si>
  <si>
    <t>074983582204</t>
  </si>
  <si>
    <t>PANDUIT CORP TM2S8C CABLE TIE BASE SCREW MNT (MIS TIES)</t>
  </si>
  <si>
    <t>SH NL AMERICAN ELECTRIC DIV ATBM P30 MVOLT R2 4B P7 LED COBRA 4000K 4-BOLT MNT NEMA LABEL</t>
  </si>
  <si>
    <t>SH NL AMERICAN ELECTRIC DIV</t>
  </si>
  <si>
    <t>ATBM P30 MVOLT R2 4B P7</t>
  </si>
  <si>
    <t>AMERICAN ELECTRIC LIGHTING</t>
  </si>
  <si>
    <t>AMERICAN ELECTRIC DIV</t>
  </si>
  <si>
    <t>GENERIC VENDOR WIRE-WYRPA UF-WG-12-2-1000R 600V CU</t>
  </si>
  <si>
    <t>UF-WG-12-2-1000R</t>
  </si>
  <si>
    <t>AK10439450</t>
  </si>
  <si>
    <t>COOPER BUSSMANN INC HEB-AW-RLC-A BUSS FUSEHOLDER</t>
  </si>
  <si>
    <t>COOPER BUSSMANN INC</t>
  </si>
  <si>
    <t>HEB-AW-RLC-A</t>
  </si>
  <si>
    <t>BUSSMANN</t>
  </si>
  <si>
    <t>BURNDY LLC KA25 4-1/0 CU LUG ST SCR 1H</t>
  </si>
  <si>
    <t>KA25</t>
  </si>
  <si>
    <t>AK10465135</t>
  </si>
  <si>
    <t>L H DOTTIE CO RTV10 10.1 OZ SILICONE SEALANT</t>
  </si>
  <si>
    <t>RTV10</t>
  </si>
  <si>
    <t>AK10588921</t>
  </si>
  <si>
    <t>DOTTIE RTV10 10.3OZ SILICONE SEALAN</t>
  </si>
  <si>
    <t>ERICO INTERNATIONAL CORPORATION 615800 GR RODPTDCU-BONDNOM 5/8INX10FT10MIL)</t>
  </si>
  <si>
    <t>AK10631333</t>
  </si>
  <si>
    <t>ERICO INTERNATIONAL CORPORATION 615800 GR RODPTDCUBONDNOM 58INX10FT10MIL)</t>
  </si>
  <si>
    <t>3M CO. - ELECTRICAL MARKETS DIV. 33+SUPER-3/4X76FT VINYL TAPE 3/4 X 76</t>
  </si>
  <si>
    <t>33+SUPER-3/4X76FT</t>
  </si>
  <si>
    <t>AK10002648</t>
  </si>
  <si>
    <t>3M CO. - ELECTRICAL MARKETS DIV. 35-WHITE-3/4X66FT VINYL COLOR CODING TAPE 3/4 X 66</t>
  </si>
  <si>
    <t>35-WHITE-3/4X66FT</t>
  </si>
  <si>
    <t>AK10002833</t>
  </si>
  <si>
    <t>IDEAL INDUSTRIES INC 30-454 WINGNUT 454 BLUE 25PC/BOX</t>
  </si>
  <si>
    <t>IDEAL INDUSTRIES INC</t>
  </si>
  <si>
    <t>30-454</t>
  </si>
  <si>
    <t>AK10520028</t>
  </si>
  <si>
    <t>IDEAL INDUSTRIES INC 30454 WINGNUT 454 BLUE 25PCBOX</t>
  </si>
  <si>
    <t>BURNDY LLC GRC58 5/8 IN GROUND ROD CLAMP</t>
  </si>
  <si>
    <t>GRC58</t>
  </si>
  <si>
    <t>AK10464677</t>
  </si>
  <si>
    <t>BURNDY LLC GRC58 58 IN GROUND ROD CLAMP</t>
  </si>
  <si>
    <t>GENERIC VENDOR WIRE-WYRPA BARE-CU-SD-6-7STR-315S BARE CU</t>
  </si>
  <si>
    <t>BARE-CU-SD-6-7STR-315S</t>
  </si>
  <si>
    <t>AK10434214</t>
  </si>
  <si>
    <t>ENGINEERED PRODUCTS CO EPD5 5-1LB STD DUCT SEAL</t>
  </si>
  <si>
    <t>ENGINEERED PRODUCTS CO</t>
  </si>
  <si>
    <t>EPD5</t>
  </si>
  <si>
    <t>AK10418005</t>
  </si>
  <si>
    <t>ENGINEERED PRODUCTS</t>
  </si>
  <si>
    <t>3M CO. - ELECTRICAL MARKETS DIV. 1602-R INSULATING SEALER 16 OZ (RED)</t>
  </si>
  <si>
    <t>1602-R</t>
  </si>
  <si>
    <t>AK10001768</t>
  </si>
  <si>
    <t>1602R</t>
  </si>
  <si>
    <t>051128603680</t>
  </si>
  <si>
    <t>3M CO. ELECTRICAL MARKETS DIV. 1602R INSULATING SEALER 16 OZ (RED)</t>
  </si>
  <si>
    <t>BRADY WORLDWIDE INCORPORATED M21-500-499 CART M21 B499 0.5INX16FTBLK/WHT</t>
  </si>
  <si>
    <t>BRADY WORLDWIDE INCORPORATED</t>
  </si>
  <si>
    <t>M21-500-499</t>
  </si>
  <si>
    <t>AK10130030</t>
  </si>
  <si>
    <t>M21500499</t>
  </si>
  <si>
    <t>BRADY WORLDWIDE</t>
  </si>
  <si>
    <t>BRADY WORLDWIDE INCORPORATED M21500499 CART M21 B499 0.5INX16FTBLKWHT</t>
  </si>
  <si>
    <t>MILWAUKEE ELEC TOOL 48-39-0572 BAND SAW BLADE M12 SUB-COMPACT (27)18</t>
  </si>
  <si>
    <t>48-39-0572</t>
  </si>
  <si>
    <t>AK10609111</t>
  </si>
  <si>
    <t>045242272341</t>
  </si>
  <si>
    <t>MILWAUKEE ELEC TOOL 48390572 BAND SAW BLADE M12 SUBCOMPACT (27)18</t>
  </si>
  <si>
    <t>ENERGIZER BATTERY INC ALAAA-18PP ALKALINE AAA BATTERY RECLOSABLE 18PK</t>
  </si>
  <si>
    <t>ENERGIZER BATTERY INC</t>
  </si>
  <si>
    <t>ALAAA-18PP</t>
  </si>
  <si>
    <t>ENERGIZER BATTERY</t>
  </si>
  <si>
    <t>COOPER CROUSE-HINDS DIVISION TP428 4 SQ EXT RING 1/2 AND 3/4 KO</t>
  </si>
  <si>
    <t>TP428</t>
  </si>
  <si>
    <t>AK10302265</t>
  </si>
  <si>
    <t>COOPER CROUSEHINDS DIVISION TP428 4 SQ EXT RING 12 AND 34 KO</t>
  </si>
  <si>
    <t>HUBBELL WIRING DEVICES BR20WHIWRTR WTR/TAMP COM GRD 20A 125V 5-20R WH
AK10498252</t>
  </si>
  <si>
    <t>BR20WHIWRTR</t>
  </si>
  <si>
    <t>AK10498252</t>
  </si>
  <si>
    <t>HUBBELL WIRING DEVICE-KELLEMS</t>
  </si>
  <si>
    <t>COOPER CROUSE-HINDS DIVISION TP403 4SQ 2-1/8D BOX 1/2 AND 3/4 KO</t>
  </si>
  <si>
    <t>TP403</t>
  </si>
  <si>
    <t>AK10302218</t>
  </si>
  <si>
    <t>COOPER CROUSEHINDS DIVISION TP403 4SQ BX 2 18 DP 12 AND 34 KO WELDED</t>
  </si>
  <si>
    <t>COOPER CROUSE-HINDS DIVISION TP472 4SQ FLAT BLANK COVER</t>
  </si>
  <si>
    <t>TP472</t>
  </si>
  <si>
    <t>AK10302325</t>
  </si>
  <si>
    <t>COOPER CROUSEHINDS DIVISION TP472 4SQ FLAT BLANK COVER</t>
  </si>
  <si>
    <t>COOPER CROUSE-HINDS DIVISION TP424 4 SQ EXT RING 1/2 KO</t>
  </si>
  <si>
    <t>TP424</t>
  </si>
  <si>
    <t>AK10302262</t>
  </si>
  <si>
    <t>WATST DSW-302-W 549930 DUAL TECH WALL SWTICH OCCUPANCY SENSOR 120/277V, WHITE
Original Sale : S104558276.001 **
Cus PO: 80730822 **</t>
  </si>
  <si>
    <t>WATST</t>
  </si>
  <si>
    <t>DSW-302-W</t>
  </si>
  <si>
    <t>WATTSTOPPER</t>
  </si>
  <si>
    <t>COOPER CROUSE-HINDS DIVISION 450S 1/2 EMT SS CONN</t>
  </si>
  <si>
    <t>450S</t>
  </si>
  <si>
    <t>AK10279751</t>
  </si>
  <si>
    <t>COOPER CROUSE-HINDS DIVISION 460 1/2 STL S/SCR EMT CPLG</t>
  </si>
  <si>
    <t>AK10279822</t>
  </si>
  <si>
    <t>BRIDGEPORT FITTINGS INCORPORATED 921-S 3/4 IN EMT PIPE STRAP</t>
  </si>
  <si>
    <t>921-S</t>
  </si>
  <si>
    <t>AK10623931</t>
  </si>
  <si>
    <t>921S</t>
  </si>
  <si>
    <t>BRIDGEPORT FITTINGS INCORPORATED 921S 34 IN EMT PIPE STRAP</t>
  </si>
  <si>
    <t>L H DOTTIE CO 14H134 1/4X1-3/4 HEX CONCRETE ANCH</t>
  </si>
  <si>
    <t>14H134</t>
  </si>
  <si>
    <t>AK10586287</t>
  </si>
  <si>
    <t>L H DOTTIE CO 14H134 14X134 HEX CONCRETE ANCH</t>
  </si>
  <si>
    <t>LOT: SCHNEIDE LSCHNEIDE 1 - HCW86TSD * Component of : HDP-PVSP</t>
  </si>
  <si>
    <t>LOT:</t>
  </si>
  <si>
    <t>SCHNEIDE</t>
  </si>
  <si>
    <t>LOT: SCHNEIDE LSCHNEIDE 1 - HC3273TSHRWMD SURFACE COVER
Component of :HGENC</t>
  </si>
  <si>
    <t>EMT 898302 335 COND EMT 1/2"</t>
  </si>
  <si>
    <t>RACO 5385-0 53218 BX WP AL 1G 3 1/2" HUBS DEEP DOP 2-5/8" GRAY 21.3CI MTG LUGS</t>
  </si>
  <si>
    <t>5385-0</t>
  </si>
  <si>
    <t>050169538500</t>
  </si>
  <si>
    <t>RACO 5385-0 1G WP BOX W/3 1/2HUBS</t>
  </si>
  <si>
    <t>RACO 2902RT 15513 CONN EMT STL RT 1/2" PKG QTY 50, 250* COMPRESSION MARKED "WET LOCATIONS"</t>
  </si>
  <si>
    <t>2902RT</t>
  </si>
  <si>
    <t>050169290293</t>
  </si>
  <si>
    <t>AK10517766</t>
  </si>
  <si>
    <t>RACO 2902RT 12 INCH EMT RAINTIGHT COMPRESSION CONNECTOR UNINSULATED STEEL CONDUIT PIPE FITTINGS</t>
  </si>
  <si>
    <t>P&amp;S 2097-TRWRW 4065 RCPT GFI TR 20A125V WHT SELFTEST 10</t>
  </si>
  <si>
    <t>P&amp;S</t>
  </si>
  <si>
    <t>2097-TRWRW</t>
  </si>
  <si>
    <t>2097TRWRW</t>
  </si>
  <si>
    <t>AK10555058</t>
  </si>
  <si>
    <t>P&amp;S 2097TRWRW 20A 125V GFCI RCPT</t>
  </si>
  <si>
    <t>MNRLC 60320J 25714 SCR CNCRT 1/4 X 1 1/4 JAR/100 TAPCON CULLY</t>
  </si>
  <si>
    <t>MNRLC</t>
  </si>
  <si>
    <t>60320J</t>
  </si>
  <si>
    <t>TAPCON</t>
  </si>
  <si>
    <t>INTER WP1010MXD 54357 CVR WP 1G VERT 3-1/8" DEEP DIE CAST NEMA 3R EXTRA DUTY INTERMATIC</t>
  </si>
  <si>
    <t>INTER</t>
  </si>
  <si>
    <t>WP1010MXD</t>
  </si>
  <si>
    <t>078275130135</t>
  </si>
  <si>
    <t>AK10525367</t>
  </si>
  <si>
    <t>INTERMATIC WP1010MXD 1G WP GRAY METAL INUSE COVER W (3) INSERTS (UP TO 16 CONFIGURATIONS) 312 INCH DEEP VERTICAL LOCKABLE EXTRA DUTY NEMA3R WEATHER PROOF IN USE BUBBLE COVER DIE CAST ALUMINUM SINGLE GANG</t>
  </si>
  <si>
    <t>LOT: SCHNEIDE LSCHNEIDE 1 - HC4268TSHRWMD SURFACE COVER * Component of :LDPXLTG</t>
  </si>
  <si>
    <t>GENERIC VENDOR-PVCPA ELL-90-1 SCH40 1IN 90DEG ELBOW</t>
  </si>
  <si>
    <t>ELL-90-1</t>
  </si>
  <si>
    <t>GENERIC VENDOR-PVCPA PVC-1 1 SCH40 COND 10FT</t>
  </si>
  <si>
    <t>PVC-1</t>
  </si>
  <si>
    <t>AK10433107</t>
  </si>
  <si>
    <t>GENERIC VENDOR-PVCPA COUP-1 1 SCH40 COUPLING</t>
  </si>
  <si>
    <t>COUP-1</t>
  </si>
  <si>
    <t>GENERIC VENDOR-PVCPA FA-1 1 FEMALE ADAPTER</t>
  </si>
  <si>
    <t>FA-1</t>
  </si>
  <si>
    <t>AK10432938</t>
  </si>
  <si>
    <t>ABB INSTALLATION PRODUCTS INC CPC100 SS CPC100 1IN COBRA (1.100-1.400) S</t>
  </si>
  <si>
    <t>ABB INSTALLATION PRODUCTS INC</t>
  </si>
  <si>
    <t>CPC100</t>
  </si>
  <si>
    <t>AK10028617</t>
  </si>
  <si>
    <t>ABB INSTALLATION PRODUCTS</t>
  </si>
  <si>
    <t>GENERIC VENDOR-TUBPA 3-1/2-EMT 3-1/2-STEEL THINWALL CONDUIT</t>
  </si>
  <si>
    <t>3-1/2-EMT</t>
  </si>
  <si>
    <t>AK10432040</t>
  </si>
  <si>
    <t>GENERIC VENDOR-PVCPA CEMENT-QSET/AW-CLR-LV-PT VC9983/7210412/G2646S/55919/078503</t>
  </si>
  <si>
    <t>CEMENT-QSET/AW-CLR-LV-PT</t>
  </si>
  <si>
    <t>AK10432532</t>
  </si>
  <si>
    <t>VC9983</t>
  </si>
  <si>
    <t>034481069768</t>
  </si>
  <si>
    <t>AK10054898</t>
  </si>
  <si>
    <t>T&amp;B VC9983 QUICK SET CEMENT PINT</t>
  </si>
  <si>
    <t xml:space="preserve"> 3536544 INSTALLATION SYSTEMS ENGINEERING SERVICE</t>
  </si>
  <si>
    <t>CUTTING CHARGE</t>
  </si>
  <si>
    <t>SERVICE</t>
  </si>
  <si>
    <t xml:space="preserve"> 3741067 HASE SIGN AND SEAL</t>
  </si>
  <si>
    <t xml:space="preserve"> 2039231 MAGNETIC NUT SETTER 5/16" X 2"</t>
  </si>
  <si>
    <t xml:space="preserve"> 3417184 FIRESTOP BOX INSERT 4-11/16" X 4-11/16" 50 PK</t>
  </si>
  <si>
    <t>ILSCO</t>
  </si>
  <si>
    <t>ILSCO 11/16 4/0 COP SOLDERING LUG</t>
  </si>
  <si>
    <t xml:space="preserve"> 2025923 HAMMER DRILL BIT TE-CX 3/16"-6" MP32</t>
  </si>
  <si>
    <t xml:space="preserve"> 2018443 ANCHOR ROD HIT-Z 1/2" X 4-1/2"</t>
  </si>
  <si>
    <t xml:space="preserve"> 3785337 7/16" HEX ARBOR (1-1/4" TO 6")</t>
  </si>
  <si>
    <t>MAKITA</t>
  </si>
  <si>
    <t xml:space="preserve"> 2210260 STUD ANCHOR KB-TZ2 1/2X3 3/4 SS304</t>
  </si>
  <si>
    <t xml:space="preserve"> 2210279 STUD ANCHOR KB-TZ2 5/8X6 SS304</t>
  </si>
  <si>
    <t xml:space="preserve"> 2334276 INJECTABLE MORTAR HY 200-R V3 330/1/WH</t>
  </si>
  <si>
    <t xml:space="preserve"> 2112763 SET TOOL &amp; DRILL BIT COMBO HDI-P 3/8"</t>
  </si>
  <si>
    <t>Greenlee ETS8LX11 1070313 18V 8mm Li-Ion Cable Tray/ Bolt Cutter w/ 120V Charger</t>
  </si>
  <si>
    <t>Greenlee</t>
  </si>
  <si>
    <t>ETS8LX11</t>
  </si>
  <si>
    <t>GREENLEE</t>
  </si>
  <si>
    <t>JCB 507-42 10518718 FORKLIFT VARIABLE REACH 7000# 38-44'
Serial: 2435855 Meter out: 3887.50
Meter in: . 00</t>
  </si>
  <si>
    <t>507-42</t>
  </si>
  <si>
    <t>VIRGINIA LOCAL RENTAL TAX [ VSTR TAX/MCI]</t>
  </si>
  <si>
    <t>RENTAL</t>
  </si>
  <si>
    <t>MOBILE TRL 40' HC 11609030 CONTAINER 8X40X9'6" HI CUBE
Serial: WNGU5112345 Substituted for: CONTAINER 8X40X8 ' 6"</t>
  </si>
  <si>
    <t>MOBILE TRL</t>
  </si>
  <si>
    <t>40 HC</t>
  </si>
  <si>
    <t xml:space="preserve"> 61110-RG6 262469 1-PORT MOD JACK 110 8W8P UTP T568A/B CAT6 QUICKPORT EXTREME 6+ GRAY</t>
  </si>
  <si>
    <t>61110-RG6</t>
  </si>
  <si>
    <t>61110RG6</t>
  </si>
  <si>
    <t>078477144602</t>
  </si>
  <si>
    <t>AK10575113</t>
  </si>
  <si>
    <t>LEV 61110RG6 1414891 QP C6 JACK GY</t>
  </si>
  <si>
    <t>GENIE AWP-40SDC 10797076 PUSHAROUND 36-48' DC
Serial: AWPG-92469 Meter out: . 10
Meter in: . 00</t>
  </si>
  <si>
    <t>GENIE</t>
  </si>
  <si>
    <t>AWP-40SDC</t>
  </si>
  <si>
    <t>GENIE AWP-40SDC 11202556 PUSHAROUND 36-48' DC
Serial: AWPP-101224 Meter out: 1.00 Meter in: . 00</t>
  </si>
  <si>
    <t>VIRGINIA LOCAL RENTAL TAX</t>
  </si>
  <si>
    <t xml:space="preserve"> NMF4 351960 NETMANAGER HIGH CAPACITY HORIZONTAL CABLE MANAGERS 7.0"H X 19.0"WX6.2"D</t>
  </si>
  <si>
    <t>NMF4</t>
  </si>
  <si>
    <t xml:space="preserve"> UTP28SP15 MM15-PA7SD-01 CBL ASSY MOD 28-4PR STRANDED CAT 6, SMALL DIAMETER, 15 FT NON-INTEG WHITE</t>
  </si>
  <si>
    <t>UTP28SP15</t>
  </si>
  <si>
    <t>CATAMOUNT</t>
  </si>
  <si>
    <t>CAT</t>
  </si>
  <si>
    <t xml:space="preserve"> LCCLCCP50+D3 677750 2-F JUMPER 10FT/3MTR 50/125 LC TO LC ULTRA POLISH AQUA OM3 PERFORMANCE+</t>
  </si>
  <si>
    <t>LCCLCCP50+D3</t>
  </si>
  <si>
    <t>095691501257</t>
  </si>
  <si>
    <t>RDG 50125 39MMX4 ISO HS 500B DIE</t>
  </si>
  <si>
    <t xml:space="preserve"> FEXLCLC42-MXF01 285377 2-F JUMPER 15FT 50/125 LC TO LC 1.6MM LAZRSPEED 550 FEXLCLC42-MXF015</t>
  </si>
  <si>
    <t>FEXLCLC42-MXF01</t>
  </si>
  <si>
    <t>Freight - Line Item</t>
  </si>
  <si>
    <t>PALADIN 625 11792451 SKID STEER TRENCHER ATTACHMENT
Serial: 680694</t>
  </si>
  <si>
    <t>PALADIN</t>
  </si>
  <si>
    <t xml:space="preserve"> 903/5411 SKID STEER FORK ATTACHMENT HEAVY DUTY</t>
  </si>
  <si>
    <t>TAKEUCHI TB290C 11540490 MINI EXCAVATOR 14001-19999#
Serial: 185109419 Meter out: 701.30 Meter in: . 00</t>
  </si>
  <si>
    <t>TAKEUCHI</t>
  </si>
  <si>
    <t>TB290C</t>
  </si>
  <si>
    <t>TAKEUCHI TL10V2-CR 11597228 SKID STEER TRACK LOADER 2400-2799#
Serial: 410006578 Meter out: 1035.40
Meter in: . 00</t>
  </si>
  <si>
    <t>TL10V2-CR</t>
  </si>
  <si>
    <t xml:space="preserve"> 902/5012 BACKHOE BUCKET 12"</t>
  </si>
  <si>
    <t>MOBILE TRL 40HC 11478728 CONTAINER 8X40X9'6" HI CUBE
Serial: GMXU3154255</t>
  </si>
  <si>
    <t>40HC</t>
  </si>
  <si>
    <t xml:space="preserve"> 902/5018 BACKHOE BUCKET 18"</t>
  </si>
  <si>
    <t>GENIE AWP-30SDC 11943422 PUSHAROUND 26-35' DC
Serial: 1050389234</t>
  </si>
  <si>
    <t>AWP-30SDC</t>
  </si>
  <si>
    <t xml:space="preserve"> 902/5148 BACKHOE DITCHING BUCKET 48"</t>
  </si>
  <si>
    <t>MOBILE 40HC 11412311 GLO/OFFICE CONTAINER 8X40X9 ' 6"
Serial: LCGU8209486</t>
  </si>
  <si>
    <t>MOBILE</t>
  </si>
  <si>
    <t>POLARIS PRO XD 4000D 11740126 UTV 4WD DSL 4SEAT CAB
Serial: 4XAP4FD43R8511842 Meter out: 320.19 Meter in: . 00</t>
  </si>
  <si>
    <t>POLARIS</t>
  </si>
  <si>
    <t>PRO XD 4000D</t>
  </si>
  <si>
    <t xml:space="preserve"> CPC3312-01F004 MM04-AV7E-02 CBL ASSY MOD 24-4PR STRANDED CAT6 T568A/B 4FT BLACK CPC3312-01F004</t>
  </si>
  <si>
    <t>CPC3312-01F004</t>
  </si>
  <si>
    <t xml:space="preserve"> 600/2485 WASTE HOLDING TANK</t>
  </si>
  <si>
    <t xml:space="preserve"> 600/2490 FRESH WATER SYSTEM</t>
  </si>
  <si>
    <t>WATER</t>
  </si>
  <si>
    <t xml:space="preserve"> 075/ 4054 SERVICE - FRESH WATER 5X WEEKLY</t>
  </si>
  <si>
    <t xml:space="preserve"> 075/4034 SERVICE - WASTE TANK 5X WEEKLY</t>
  </si>
  <si>
    <t>CUSHMAN TITAN XD 11672036 INDUSTRIAL ELECTRIC CART 4 WHEELED
Serial: 3600110 Meter out: 36.56 Meter in: . 00</t>
  </si>
  <si>
    <t>CUSHMAN</t>
  </si>
  <si>
    <t>TITAN XD</t>
  </si>
  <si>
    <t xml:space="preserve"> 075/4054 SERVICE - FRESH WATER 5X WEEKLY</t>
  </si>
  <si>
    <t>TX UNIT PROPERTY TAX</t>
  </si>
  <si>
    <t>CLUB CAR CARRYALL 1700 10537947 UTV 4WD DSL 4SEAT ROPS
Serial: 810888 Meter out: 1884.90 Meter in: . 00</t>
  </si>
  <si>
    <t>CLUB CAR</t>
  </si>
  <si>
    <t>CARRYALL 1700</t>
  </si>
  <si>
    <t>IN HEAVY EQUIP. EXCISE TAX</t>
  </si>
  <si>
    <t>MEC 2632SE 11096738 SCISSOR LIFT 24-26' ELECTRIC 30-36" WIDE
Serial: 16500654 Meter out: 3.37 Meter in: . 00</t>
  </si>
  <si>
    <t>MEC</t>
  </si>
  <si>
    <t>2632SE</t>
  </si>
  <si>
    <t>POLARIS PRO XD 4000D 11189037 UTV 4WD DSL 4SEAT ROPS
Serial: 4XABEPD47M8510733 Meter out: 854.71
Meter in: . 00</t>
  </si>
  <si>
    <t>SC HEAVY EQUIPMENT RENTAL FEE</t>
  </si>
  <si>
    <t>CLUB CAR CARRYALL 1700 10916735 UTV 4WD DSL 4SEAT ROPS
Serial: SD1938-007809 Meter out: 1325.80
Meter in: . 00</t>
  </si>
  <si>
    <t>POLARIS PRO XD 4000D 11342278 UTV 4WD DSL 4SEAT ROPS
Serial: 4XABEPD48M8515827 Meter out: 985.01
Meter in: . 00</t>
  </si>
  <si>
    <t xml:space="preserve"> 46095/40800 740477 UB1270 12V 7AH F1 AGM BATTERY</t>
  </si>
  <si>
    <t>46095/40800</t>
  </si>
  <si>
    <t>095691408006</t>
  </si>
  <si>
    <t>RDG 40800 E1589X S8A CHAIN &amp; SCR</t>
  </si>
  <si>
    <t xml:space="preserve"> 9600-630 CS102879 9600-630 12/24VDC,US32D,RIM,SURFACE MT, FIELD SELECTABLE</t>
  </si>
  <si>
    <t>9600-630</t>
  </si>
  <si>
    <t xml:space="preserve"> AL1024ULXPD8 310125 POWER SUPPLY-CHARGER, 24 FUSED DIST BRD</t>
  </si>
  <si>
    <t>AL1024ULXPD8</t>
  </si>
  <si>
    <t>012800528868</t>
  </si>
  <si>
    <t>RAYOVAC 10-24 HEARING AID BAT</t>
  </si>
  <si>
    <t xml:space="preserve"> 6005BKB00 323594 READER PROX POINT PLUS CLASSIC BLACK PIGTAIL CONFIG. SETTING 00</t>
  </si>
  <si>
    <t>6005BKB00</t>
  </si>
  <si>
    <t xml:space="preserve"> DS160 237989 REQUEST TO EXIT PIR WHITE</t>
  </si>
  <si>
    <t>DS160</t>
  </si>
  <si>
    <t>N/A FREIGHT</t>
  </si>
  <si>
    <t>TOYOTA 8FGU25 LP ONLY 11563736 FORKLIFT WHSE 5000# LP ONLY
Serial: 508FGU25-13508 Meter out: 351.92 Meter in: . 00</t>
  </si>
  <si>
    <t>TOYOTA</t>
  </si>
  <si>
    <t>8FGU25 LP ONLY</t>
  </si>
  <si>
    <t xml:space="preserve"> 9400-630 9400-630 CS450746 SLIM-LINE, RIM, SURF MT, GENESIS</t>
  </si>
  <si>
    <t>9400-630 9400-630</t>
  </si>
  <si>
    <t xml:space="preserve"> 5395CK100 286317 READER, THINLINE II, SETTING 00 WIEGAND, 18 INCH PIGTAIL BLACK</t>
  </si>
  <si>
    <t>5395CK100</t>
  </si>
  <si>
    <t>CUMMINS C100D2RE 11551922 GENERATOR 125-149 KVA TIER 4
(Triple
Serial: J220159337 Meter out: 4873.35 Meter in:</t>
  </si>
  <si>
    <t>CUMMINS</t>
  </si>
  <si>
    <t>C100D2RE</t>
  </si>
  <si>
    <t xml:space="preserve"> 241/8010 CABLE BANDED 5 WIRE 50'</t>
  </si>
  <si>
    <t>POWR2 P40.56/240 11434347 HYBRID POWER 40KVA/60KWH 1PH 240V
Serial: PP0406241222.005</t>
  </si>
  <si>
    <t>POWR2</t>
  </si>
  <si>
    <t>P40.56/240</t>
  </si>
  <si>
    <t>050169562406</t>
  </si>
  <si>
    <t>RACO 5624-0 1LMPHLDR W/RND CVR GRY</t>
  </si>
  <si>
    <t>SKYJACK SJ45T 7040-1429 BOOM 45-50' TELESCOPIC 4WD
Serial: 98001429 Meter out: 3513.30 Meter in: 3592.10</t>
  </si>
  <si>
    <t>SKYJACK</t>
  </si>
  <si>
    <t>SJ45T</t>
  </si>
  <si>
    <t>WESTERN 50TCG 10719739 TANK FUEL DOUBLE WALL 1000-1250 GAL
Serial: 17006253</t>
  </si>
  <si>
    <t>WESTERN</t>
  </si>
  <si>
    <t>50TCG</t>
  </si>
  <si>
    <t>DYED DIESEL</t>
  </si>
  <si>
    <t xml:space="preserve"> RR9207600 TANK DIESEL EXHAUST FLUID (DEF) 100 GAL</t>
  </si>
  <si>
    <t>BULK DYED DIESEL SALES</t>
  </si>
  <si>
    <t>POLARIS PRO XD 4000G 11224835 UTV 4WD GAS 4SEAT CAB
Serial: 4XABGP990M8511009 Meter out: 1358.80 Meter in: . 00</t>
  </si>
  <si>
    <t>PRO XD 4000G</t>
  </si>
  <si>
    <t>BULK DYED DIESEL SALES Fuel drop 1000.7g 2/18/25 Fuel drop 102g 2/19/25</t>
  </si>
  <si>
    <t>REFUELING SERVICE CHARGE WEEKEND FUEL CHARGE 2/23/25</t>
  </si>
  <si>
    <t>JLG 1055 11233552 FORKLIFT VARIABLE REACH 10000# 50'-62'
Serial: 0160108546 Meter out: 4189.99
Meter in: . 00</t>
  </si>
  <si>
    <t>JLG</t>
  </si>
  <si>
    <t>0160108546</t>
  </si>
  <si>
    <t>BULK DYED DIESEL SALES FUEL DROP 85.6G 3/14/25</t>
  </si>
  <si>
    <t>SUMNER 2118 11755068 LIFT MATERIAL 16-18' 400-650# MANUAL
Serial: 45363</t>
  </si>
  <si>
    <t>SUMNER</t>
  </si>
  <si>
    <t>095691453631</t>
  </si>
  <si>
    <t>RDG 45363 ADAPTER</t>
  </si>
  <si>
    <t>FORD F150CREWXLG4WD 11510032 TRUCK PU 1/2 TON 4X4 XL CREW CAB
Serial: 1FTEW1EB4NKE44207 Meter out: 20.00 Meter in: . 00</t>
  </si>
  <si>
    <t>FORD</t>
  </si>
  <si>
    <t>F150CREWXLG4WD</t>
  </si>
  <si>
    <t>MN ROAD IMPROVEMENT &amp; FOOD DELIVERY FEE</t>
  </si>
  <si>
    <t>POLARIS PRO XD 4000D 11897450 UTV 4WD DSL 4SEAT CAB
Serial: 4XAP4RD41S8823258 Meter out: . 67
Meter in: . 00</t>
  </si>
  <si>
    <t>POLARIS PRO XD 4000D 11881502 UTV 4WD DSL 4SEAT CAB
Serial: 4XAP4FD405S8823042 Meter out: . 63
Meter in: . 00</t>
  </si>
  <si>
    <t>POLARIS PRO XD 4000D 11881508 UTV 4WD DSL 4SEAT CAB
Serial: 4XAP4FD45S8822730 Meter out: . 75
Meter in: . 00</t>
  </si>
  <si>
    <t>MAXIS M6K-M 11220016 CABLE PULLER TUGGER 6000# ELECTRIC
Serial: 6K0819019</t>
  </si>
  <si>
    <t>MAXIS</t>
  </si>
  <si>
    <t>M6K-M</t>
  </si>
  <si>
    <t>SOUTHWIRE MAXIS</t>
  </si>
  <si>
    <t>MEC MME25 11372892 VERTICAL LIFT 24-27' SELF PROPELLED
Serial: 17300399 Meter out: 34.90
Meter in: . 00</t>
  </si>
  <si>
    <t>MME25</t>
  </si>
  <si>
    <t>MEC MME25 11372964 VERTICAL LIFT 24-27' SELF PROPELLED
Serial: 17300488 Meter out: 198.07
Meter in: . 00</t>
  </si>
  <si>
    <t>MEC MME20 11674582 VERTICAL LIFT 18-20' ELEC SELF PROPELLED
Serial: 17204991 Meter out: 78.03
Meter in: . 00</t>
  </si>
  <si>
    <t>MME20</t>
  </si>
  <si>
    <t>MEC MME25 11203161 VERTICAL LIFT 24-27' SELF PROPELLED
Serial: 17300146 Meter out: 101.05
Meter in: . 00</t>
  </si>
  <si>
    <t>MEC MME25 11552619 VERTICAL LIFT 24-27' SELF PROPELLED
Serial: 17301236 Meter out: 58. 33
Meter in: . 00</t>
  </si>
  <si>
    <t>OLDCASTLE PRECAST ENCLOSURES</t>
  </si>
  <si>
    <t>OLDCAST 17301236 CMC BOX UNIT</t>
  </si>
  <si>
    <t>MEC MME25 11674989 VERTICAL LIFT 24-27' SELF PROPELLED
Serial: 17302367 Meter out: 95.82
Meter in: . 00</t>
  </si>
  <si>
    <t xml:space="preserve"> AX108181 949198 KCONN MFLEX FP KIT 4-P WHITE</t>
  </si>
  <si>
    <t>AX108181</t>
  </si>
  <si>
    <t>KIT</t>
  </si>
  <si>
    <t xml:space="preserve"> 16-2C SOL BC FRPVC FA-1602C-1-2S-03 FOIL SHD
75C</t>
  </si>
  <si>
    <t>16-2C SOL BC FRPVC</t>
  </si>
  <si>
    <t xml:space="preserve">MM07-ORC6ARDG10-06_ MM07-ORC6ARDG10-06 </t>
  </si>
  <si>
    <t xml:space="preserve"> 11301-701 249442 CABLE RUNWAY BUTT SPLICE KIT FOR 1.5" STRINGERS STEEL, BLACK</t>
  </si>
  <si>
    <t>11301-701</t>
  </si>
  <si>
    <t>CHATSWORTH PRODUCTS</t>
  </si>
  <si>
    <t>AK10992810</t>
  </si>
  <si>
    <t>11301701 CHATSWORTH PRODUCTS INCORPORATED BUTT SPLICE 1.5 STRG BKZ</t>
  </si>
  <si>
    <t xml:space="preserve"> 2065-10-9 </t>
  </si>
  <si>
    <t xml:space="preserve"> 02341-001 10277034 P1467-LE COMPACT OUTDOOR, 5MP NEMA 4X, IP66, IP67, IK10 DAY/NIGHT, BULLET B8A44FE3C9F7</t>
  </si>
  <si>
    <t>02341-001</t>
  </si>
  <si>
    <t>IK10</t>
  </si>
  <si>
    <t>ILSCO IK-10 COP SPLIT BOLT CONN</t>
  </si>
  <si>
    <t xml:space="preserve"> 02327-001 10232500 P3265-LV FIXED DOME CAMERA, HDTV 1080 2MP, VANDAL RESISTANT, LED B8A44FEA32CD
669B3KPV00201
669B3KPV00202
669B3KPV00203
669B3KPV00204
669B3KPV00205</t>
  </si>
  <si>
    <t>02327-001</t>
  </si>
  <si>
    <t xml:space="preserve"> 02328-001 10232501 P3265-LVE FIXED DOME CAMERA OUTDOOR HDTV 1080 2MP 9MM VANDAL RESISTANT</t>
  </si>
  <si>
    <t>02328-001</t>
  </si>
  <si>
    <t xml:space="preserve"> 02415-001 10314003 AXIS P4705-PLVE OFFERS TWO CHANNELS WITH 2MP PER CHANNEL, AT A FRAME</t>
  </si>
  <si>
    <t>02415-001</t>
  </si>
  <si>
    <t xml:space="preserve"> 5504-641 541500 T91B63 CEILING MOUNT, AL WH 75CM/29.5" FITS P55-SERIES, Q60</t>
  </si>
  <si>
    <t>5504-641</t>
  </si>
  <si>
    <t xml:space="preserve"> 01513-001 1017660 T94N01D PENDANT KIT FOR P3717-PLE IP CAM, 1.5" NPS THREAD, WALL MOUNT</t>
  </si>
  <si>
    <t>01513-001</t>
  </si>
  <si>
    <t xml:space="preserve"> 40NKS-00-000000 10019462 SIGNO40, WALL MOUNT, 13.56MHZ &amp;125KHZ, OSDP/WIEGAND MOBILE READY, BLE</t>
  </si>
  <si>
    <t>40NKS-00-000000</t>
  </si>
  <si>
    <t xml:space="preserve"> 180-12-W CS446302 180-12 WHT CLOSED LOOP, 3/4" DIA, RECESSED</t>
  </si>
  <si>
    <t>180-12-W</t>
  </si>
  <si>
    <t xml:space="preserve"> UL1007/1569 16 1007-16/26-9-DYD6 26STR TNC PVC WHT DYED DK BLU 300V 80C UL CSA AWM</t>
  </si>
  <si>
    <t>UL1007/1569 16</t>
  </si>
  <si>
    <t>HARGER LIGHTNING PROTECTION</t>
  </si>
  <si>
    <t>HAR 162-6 1/2X6 CU CNCLD BASE</t>
  </si>
  <si>
    <t xml:space="preserve"> FSEX-24PMC-MOD 10052042 STROBE LIGHT, EXPLOSION-PROOF, SUPERVISED, LIMITED IN-RUSH, UL</t>
  </si>
  <si>
    <t>FSEX-24PMC-MOD</t>
  </si>
  <si>
    <t>FSEX24PMCMOD</t>
  </si>
  <si>
    <t>FED-SIG FSEX-24PMC-MOD STROBE LIGHT</t>
  </si>
  <si>
    <t xml:space="preserve"> WMXC-4R-SB 10352890 MOUNTING KIT, 90 DEGREE WALL, 4 WIRE, 121X, 24XST, 27XST/XL, RED</t>
  </si>
  <si>
    <t>WMXC-4R-SB</t>
  </si>
  <si>
    <t xml:space="preserve"> 8845-200-HP00-0 AMZ-00004-GSO IOT SENSOR WALLMOUNT ENTERPRISE READER HF-ONLY, AMAZON GSO</t>
  </si>
  <si>
    <t>8845-200-HP00-0</t>
  </si>
  <si>
    <t>AMAZON</t>
  </si>
  <si>
    <t xml:space="preserve"> 8845-200-HP00-0 AMZ-00004-GSO </t>
  </si>
  <si>
    <t>1418T25_ 1418T25 Pail of 72 Citrus Orange Hand Wipes</t>
  </si>
  <si>
    <t>2896A542_ 2896A542 Short-Length Drill Bit, Black-Oxide High-Speed Steel, Gauge Size 29, 2" Overall Length</t>
  </si>
  <si>
    <t>7366T272_ 7366T272 T-Shirt Rags, Various Colors, 25 lbs.</t>
  </si>
  <si>
    <t>RAGS</t>
  </si>
  <si>
    <t>2522A668_ 2522A668 Uncoated High-Speed Steel General Purpose Tap, Taper Chamfer, 8-32 Thread Size, 3/4" Thread Length</t>
  </si>
  <si>
    <t>GENERAL CABLE</t>
  </si>
  <si>
    <t>GENERAL</t>
  </si>
  <si>
    <t xml:space="preserve"> 43542060 #4 GR60 1/2"X20' REBAR SOLD/PC</t>
  </si>
  <si>
    <t xml:space="preserve"> 1046THD 6" HEAVY T HINGE LAWRENCE</t>
  </si>
  <si>
    <t xml:space="preserve"> 113WT616 6" 16GA BLACK BAR TIE 5M/BAG</t>
  </si>
  <si>
    <t>BLS B22SH-120GLV 115161 CHNL 1-5/8X1-5/8IN HSLT10FT
1
= 1 FOOT</t>
  </si>
  <si>
    <t>BLS</t>
  </si>
  <si>
    <t>AK10627959</t>
  </si>
  <si>
    <t>BLS B22SH120GLV 115161 CHNL 158X158IN HSLT10FT 1 EACH 1 FOOT</t>
  </si>
  <si>
    <t>CPY250-C-8L-40K7-F-UL-DM-BZ_ CPY250-C-8L-40K7-F-UL-DM-BZ -</t>
  </si>
  <si>
    <t>BLS B201-ZN 115435 SQ WASHER 3/8IN ZNC PLTD</t>
  </si>
  <si>
    <t>B201-ZN</t>
  </si>
  <si>
    <t>AK10246086</t>
  </si>
  <si>
    <t>LEV 2320 SGL 121673 LKGRCPT L6-20R 20A 250V 2P3W</t>
  </si>
  <si>
    <t>LEV</t>
  </si>
  <si>
    <t>2320 SGL</t>
  </si>
  <si>
    <t>AK10570419</t>
  </si>
  <si>
    <t>L620R</t>
  </si>
  <si>
    <t>AK10557593</t>
  </si>
  <si>
    <t>L620R PASS &amp; SEYMOUR INC TURNLOK RECEPT SGL 3W 20A 250V</t>
  </si>
  <si>
    <t>BLS B104-ZN 115357 CRNR ANGL FTG 4H ZNC PLTD</t>
  </si>
  <si>
    <t>B104-ZN</t>
  </si>
  <si>
    <t>AK10245329</t>
  </si>
  <si>
    <t>B104ZN</t>
  </si>
  <si>
    <t>BLS B104ZN 115357 CRNR ANGL FTG 4H ZNC PLTD</t>
  </si>
  <si>
    <t>BLS B22SH-120GLV 115161 CHNL 1-5/8X1-5/8IN HSLT10FT</t>
  </si>
  <si>
    <t>BLS B22SH120GLV 115161 CHNL 158X158IN HSLT10FT</t>
  </si>
  <si>
    <t>DACE PC1500 1944694 PROCELL AA ALKALINE BATTERY 24/PK</t>
  </si>
  <si>
    <t>DACE</t>
  </si>
  <si>
    <t>PC1500</t>
  </si>
  <si>
    <t>AK10237455</t>
  </si>
  <si>
    <t>GREAVES CORPORATION</t>
  </si>
  <si>
    <t>GRVS PC1500 U DIE</t>
  </si>
  <si>
    <t>HOF ASE24X24X12NK 1101939 SCR CVR PULL BX</t>
  </si>
  <si>
    <t>HOF</t>
  </si>
  <si>
    <t>ASE24X24X12NK</t>
  </si>
  <si>
    <t>AK10637047</t>
  </si>
  <si>
    <t>HOF ASE24X24X8NK 133627 NMA1 SC BOX-NO K</t>
  </si>
  <si>
    <t>ASE24X24X8NK</t>
  </si>
  <si>
    <t>AK10637055</t>
  </si>
  <si>
    <t>HOFF ASE24X24X8NK NMA1 SC BOX-NO K</t>
  </si>
  <si>
    <t>IDE 36-241 643538 ELECTRONIC SCREWDRIVER</t>
  </si>
  <si>
    <t>IDE</t>
  </si>
  <si>
    <t>36-241</t>
  </si>
  <si>
    <t>AK10520858</t>
  </si>
  <si>
    <t>IDE 36241 643538 ELECTRONIC SCREWDRIVER</t>
  </si>
  <si>
    <t>- PT8300HGRY_ - PT8300HGRY 20A 125V PLUGTAIL DUP RECPT</t>
  </si>
  <si>
    <t>AK10558579_PAS PTRA6-STR 1973523 90 DEGREE 6 IN PT CON</t>
  </si>
  <si>
    <t>PAS</t>
  </si>
  <si>
    <t>PTRA6STR</t>
  </si>
  <si>
    <t>AK10558579</t>
  </si>
  <si>
    <t>PS PTRA6STR 123088 90 DEGREE 6 IN PT CONNECTOR</t>
  </si>
  <si>
    <t>AK10558373_PAS PT2097-HGGRY 3284615 SELF TEST PLUGTAIL GFCI HOS</t>
  </si>
  <si>
    <t>CRH 451 147659 3/4 SSCR CONN STL EMT</t>
  </si>
  <si>
    <t>CRH</t>
  </si>
  <si>
    <t>DOTT TEKW812 113392 8X1/2 WAFER SCREW</t>
  </si>
  <si>
    <t>DOTT</t>
  </si>
  <si>
    <t>TEKW812</t>
  </si>
  <si>
    <t>AK10589448</t>
  </si>
  <si>
    <t>DOTT TEKW812 113392 8X12 WAFER SCREW</t>
  </si>
  <si>
    <t>FLX MC-LED-AL-12/2G-STR-BN/GY 3223364 250FT</t>
  </si>
  <si>
    <t>FLX</t>
  </si>
  <si>
    <t>MC-LED-AL-12/2G-STR-BN/GY</t>
  </si>
  <si>
    <t>AK10416328</t>
  </si>
  <si>
    <t xml:space="preserve">PIC 1IN-RGD-GALV-CPLG 109059 </t>
  </si>
  <si>
    <t>PIC</t>
  </si>
  <si>
    <t>1IN-RGD-GALV-CPLG</t>
  </si>
  <si>
    <t>AK10987508</t>
  </si>
  <si>
    <t>ARLI 4110ST 3288910 SNAP IN 1/2IN KO SNAP2IT MC CONN</t>
  </si>
  <si>
    <t>ARLI</t>
  </si>
  <si>
    <t>4110ST</t>
  </si>
  <si>
    <t>AK10082583</t>
  </si>
  <si>
    <t>018997007285</t>
  </si>
  <si>
    <t>ARLI 4110ST 3288910 SNAP IN 12IN KO SNAP2IT MC CONN</t>
  </si>
  <si>
    <t>ARLI 414110ST 3288911 DPLX SNAP IN 1/2IN KO SNAP2IT M</t>
  </si>
  <si>
    <t>414110ST</t>
  </si>
  <si>
    <t>AK10082586</t>
  </si>
  <si>
    <t>018997007292</t>
  </si>
  <si>
    <t>ARLI 414110ST 3288911 DPLX SNAP IN 12IN KO SNAP2IT M</t>
  </si>
  <si>
    <t xml:space="preserve">EMT 3/4IN-EMT 167250 </t>
  </si>
  <si>
    <t>3/4IN-EMT</t>
  </si>
  <si>
    <t>ADJUSTMENTS</t>
  </si>
  <si>
    <t>MIW 49-25-1259 3552240 OPEN-LOK 1-1/8IN BLDS 10PK</t>
  </si>
  <si>
    <t>MIW</t>
  </si>
  <si>
    <t>49-25-1259</t>
  </si>
  <si>
    <t>045242571048</t>
  </si>
  <si>
    <t>MILW 49-25-1259 MULTI-TOOL BLADE</t>
  </si>
  <si>
    <t>MIW 49-25-1269 3552241 OPEN-LOK 1-3/4IN BLDS 3PK</t>
  </si>
  <si>
    <t>49-25-1269</t>
  </si>
  <si>
    <t>045242571079</t>
  </si>
  <si>
    <t>MILW 49-25-1269 MULTI-TOOL BLADE</t>
  </si>
  <si>
    <t>HOF ASG8X8X6NK 133384 GALV SC BOX-NO KO</t>
  </si>
  <si>
    <t>ASG8X8X6NK</t>
  </si>
  <si>
    <t>AK10637226</t>
  </si>
  <si>
    <t>HOF ASG8X8X6NK 133384 GALV SC BOXNO KO</t>
  </si>
  <si>
    <t>HOF ASG12X12X6NK 133387 GALV SC BOX-NO K</t>
  </si>
  <si>
    <t>ASG12X12X6NK</t>
  </si>
  <si>
    <t>AK10637144</t>
  </si>
  <si>
    <t>HOF ASG12X12X6NK 133387 GALV SC BOXNO K</t>
  </si>
  <si>
    <t>HOF A121236T1T 1382100 WIR TRGH N1 12X12X36IN STL</t>
  </si>
  <si>
    <t>A121236T1T</t>
  </si>
  <si>
    <t>AK10633985</t>
  </si>
  <si>
    <t>HOFF A121236T1T 12X12X36IN TROUGH</t>
  </si>
  <si>
    <t>SQD QOB230 156126 CKT-BKR 2P 240V 30A BLTON</t>
  </si>
  <si>
    <t>SQD</t>
  </si>
  <si>
    <t>SQD QOB120GFI 156034 CKT-BKR 1P 120V 20A BLTON GFCI</t>
  </si>
  <si>
    <t>QOB120GFI</t>
  </si>
  <si>
    <t>AK10804927</t>
  </si>
  <si>
    <t>LEV 2710 SGL 122189 LKGRCPT L14-30R 30A 125/250V</t>
  </si>
  <si>
    <t>2710 SGL</t>
  </si>
  <si>
    <t>AK10570760</t>
  </si>
  <si>
    <t>L1430R</t>
  </si>
  <si>
    <t>AK10557473</t>
  </si>
  <si>
    <t>P&amp;S L1430R TURNLOK SGL RECEPT 4W 30A 125250V</t>
  </si>
  <si>
    <t>THM RS4 OUTL-BX 561042 CVR STL TWL REC</t>
  </si>
  <si>
    <t>THM</t>
  </si>
  <si>
    <t>RS4 OUTL-BX</t>
  </si>
  <si>
    <t>AK10045231</t>
  </si>
  <si>
    <t>GRE 645-001 785236 PILOT DRILL 5/8TO2-1/4 05761</t>
  </si>
  <si>
    <t>GRE</t>
  </si>
  <si>
    <t>GRE 645001 PILOT DRILL 58TO214 05761</t>
  </si>
  <si>
    <t>GRE 645-7/8 785611 CARB-TIP HOLE CUTTER 05695</t>
  </si>
  <si>
    <t>645-7/8</t>
  </si>
  <si>
    <t>AK10975405</t>
  </si>
  <si>
    <t>GRE 64578 CARBTIP HOLE CUTTER 05695</t>
  </si>
  <si>
    <t>CFSY GW12 2580713 12FT CEILING WIRE/WITH OUT CLIP</t>
  </si>
  <si>
    <t>CFSY</t>
  </si>
  <si>
    <t>GW12</t>
  </si>
  <si>
    <t>DOTT TEKHW122 113300 HEX HEAD</t>
  </si>
  <si>
    <t>TEKHW122</t>
  </si>
  <si>
    <t>AK10589400</t>
  </si>
  <si>
    <t>MGI 01210009N 2450572 TOGGLE SWITCH DPST</t>
  </si>
  <si>
    <t>MGI</t>
  </si>
  <si>
    <t>01210009N</t>
  </si>
  <si>
    <t>AK10598730</t>
  </si>
  <si>
    <t>BUS FRN-R-25 113766 FUSE CL-RK5 25A 250V TD FSTRON</t>
  </si>
  <si>
    <t>BUS</t>
  </si>
  <si>
    <t>FRN-R-25</t>
  </si>
  <si>
    <t>AK10271523</t>
  </si>
  <si>
    <t xml:space="preserve">DLO 3/0-DLO-2KV-BLK-1000R 1964539 </t>
  </si>
  <si>
    <t>DLO</t>
  </si>
  <si>
    <t>3/0-DLO-2KV-BLK-1000R</t>
  </si>
  <si>
    <t>AK10434366</t>
  </si>
  <si>
    <t>MMM 3570G-N 115352 CONNECTOR-SEALING PACK</t>
  </si>
  <si>
    <t>MMM</t>
  </si>
  <si>
    <t>3570G-N</t>
  </si>
  <si>
    <t>AK10002782</t>
  </si>
  <si>
    <t>3570GN</t>
  </si>
  <si>
    <t>051128591864</t>
  </si>
  <si>
    <t>MMM 3570GN 115352 CONNECTORSEALING PACK</t>
  </si>
  <si>
    <t xml:space="preserve">BARE BARE-SD-3/0-19STR-CU-1000R 2243921 </t>
  </si>
  <si>
    <t>BARE</t>
  </si>
  <si>
    <t>BARE-SD-3/0-19STR-CU-1000R</t>
  </si>
  <si>
    <t>AK10434262</t>
  </si>
  <si>
    <t>HAR 3/0-19 CU GND CDR</t>
  </si>
  <si>
    <t>THM R1028 662591 1/4X10 GALV THD ROD 1EA/1FT</t>
  </si>
  <si>
    <t>R1028</t>
  </si>
  <si>
    <t>AK10043943</t>
  </si>
  <si>
    <t>ARLI EMT125 121640 INSUL PSH-ON 1-1/4 BUSH NMT</t>
  </si>
  <si>
    <t>EMT125</t>
  </si>
  <si>
    <t>AK10083254</t>
  </si>
  <si>
    <t>018997122254</t>
  </si>
  <si>
    <t>ARLI EMT125 121640 INSUL PSHON 114 BUSH NMT</t>
  </si>
  <si>
    <t>DOTT RMC8322 114289 COMBO MACH SCR</t>
  </si>
  <si>
    <t>RMC8322</t>
  </si>
  <si>
    <t>AK10588835</t>
  </si>
  <si>
    <t>ARLI LV1 121634 LOW-V BRKT 1G</t>
  </si>
  <si>
    <t>LV1</t>
  </si>
  <si>
    <t>AK10083768</t>
  </si>
  <si>
    <t>MMM 69-1X36YD 788281 GLASS CLOTH TAPE</t>
  </si>
  <si>
    <t>69-1X36YD</t>
  </si>
  <si>
    <t>AK10004367</t>
  </si>
  <si>
    <t xml:space="preserve"> 36186SCP -
TYPE 1 PAINTED GALV SCREW COVER
NON-CANCELLABEL AND NON-RETURNABLE</t>
  </si>
  <si>
    <t>36186SCP</t>
  </si>
  <si>
    <t>BUR GC2626CT 242043 2/0 CBL TRAY CLAMP</t>
  </si>
  <si>
    <t>BUR</t>
  </si>
  <si>
    <t>GC2626CT</t>
  </si>
  <si>
    <t>AK10464507</t>
  </si>
  <si>
    <t>BUR GC2626CT 242043 20 CBL TRAY CLAMP</t>
  </si>
  <si>
    <t xml:space="preserve">PIC 3/4X3-1/2-GALV-NIP 109230 </t>
  </si>
  <si>
    <t>3/4X3-1/2-GALV-NIP</t>
  </si>
  <si>
    <t>AK10432147</t>
  </si>
  <si>
    <t>GENERIC CONDUIT</t>
  </si>
  <si>
    <t>NIP</t>
  </si>
  <si>
    <t>THM R1038 662602 3/8X10 GALV THREADED ROD 1EA/1FT</t>
  </si>
  <si>
    <t>R1038</t>
  </si>
  <si>
    <t>AK10043945</t>
  </si>
  <si>
    <t>GRVS R10-38 NON INS RING TERM</t>
  </si>
  <si>
    <t>DOTT FENW-14114 112838 FENDER WASHER</t>
  </si>
  <si>
    <t>FENW-14114</t>
  </si>
  <si>
    <t>AK10587322</t>
  </si>
  <si>
    <t>FENW14114</t>
  </si>
  <si>
    <t>DOTTIE FENW14114 FENDER WASHER</t>
  </si>
  <si>
    <t xml:space="preserve">EMT 2-1/2IN-EMT 167247 </t>
  </si>
  <si>
    <t>2-1/2IN-EMT</t>
  </si>
  <si>
    <t>CRH 466 775876 2-1/2 SSCR CPLG STL EMT</t>
  </si>
  <si>
    <t>AK10279883</t>
  </si>
  <si>
    <t>LEV GFNT2-W 3273691 20A SLIM GFCI W/WALLPLATE</t>
  </si>
  <si>
    <t>GFNT2-W</t>
  </si>
  <si>
    <t>AK10579765</t>
  </si>
  <si>
    <t>GFNT2W</t>
  </si>
  <si>
    <t>078477712764</t>
  </si>
  <si>
    <t>LEV GFNT2W 3273691 20A SLIM GFCI WWALLPLATE</t>
  </si>
  <si>
    <t>DOTT HN38 113157 STEEL HEX NUT</t>
  </si>
  <si>
    <t>HN38</t>
  </si>
  <si>
    <t>AK10587593</t>
  </si>
  <si>
    <t>PAS SS720 1762583 WLPLT 1G OPN 1.595IN STD SS SCR</t>
  </si>
  <si>
    <t>SS720</t>
  </si>
  <si>
    <t>AK10559422</t>
  </si>
  <si>
    <t>SQD QOB230GFI 156863 CKT-BKR 2P 240V 30A BLTON GFCI</t>
  </si>
  <si>
    <t>QOB230GFI</t>
  </si>
  <si>
    <t>AK10805054</t>
  </si>
  <si>
    <t xml:space="preserve">TFFN TFFN-16-PNK-26STR-CU-4/500CTN 166892 </t>
  </si>
  <si>
    <t>TFFN</t>
  </si>
  <si>
    <t>TFFN-16-PNK-26STR-CU-4/500CTN</t>
  </si>
  <si>
    <t>AK10437805</t>
  </si>
  <si>
    <t xml:space="preserve">TFFN TFFN-16-PUR-26STR-CU-4/500CTN 166914 </t>
  </si>
  <si>
    <t>TFFN-16-PUR-26STR-CU-4/500CTN</t>
  </si>
  <si>
    <t>AK10437809</t>
  </si>
  <si>
    <t>THM CY-1/2 160204 SW-BX 3X2X3-1/2IN W/EARS</t>
  </si>
  <si>
    <t>CY-1/2</t>
  </si>
  <si>
    <t>AK10029604</t>
  </si>
  <si>
    <t>FLX 3/4IN-STEEL-FLEX-REDUCED-WALL 152559 500R</t>
  </si>
  <si>
    <t>3/4IN-STEEL-FLEX-REDUCED-WALL</t>
  </si>
  <si>
    <t>FLEX</t>
  </si>
  <si>
    <t>CRH 709 147742 3/4 SQZ CONN MALL IRN FLEX
CRH</t>
  </si>
  <si>
    <t>AK10281452</t>
  </si>
  <si>
    <t>IDE 128169 EZ CK PLUS CIRCUIT TESTER</t>
  </si>
  <si>
    <t>AK10521845</t>
  </si>
  <si>
    <t xml:space="preserve">EMT 1IN-EMT 167243 </t>
  </si>
  <si>
    <t>1IN-EMT</t>
  </si>
  <si>
    <t>THM CPC100 1988719 1IN COBRA STRUT PIPECLMP</t>
  </si>
  <si>
    <t>EMT 3/4IN-EMT 167250 1 SSCR CPLG STL EMT</t>
  </si>
  <si>
    <t>THM CPC075 1988744 3/4IN COBRA STRUT PIPECLMP</t>
  </si>
  <si>
    <t>CPC075</t>
  </si>
  <si>
    <t>DOTT WDK8 113841 8 50PC WALL DRILLER KIT</t>
  </si>
  <si>
    <t>WDK8</t>
  </si>
  <si>
    <t>AK10028613</t>
  </si>
  <si>
    <t>HOF ASE12X12X4NK 133529 NMA1 SC BOX-NO K</t>
  </si>
  <si>
    <t>ASE12X12X4NK</t>
  </si>
  <si>
    <t>AK10589640</t>
  </si>
  <si>
    <t>AK10636972</t>
  </si>
  <si>
    <t>HOF ASE12X12X4NK 133529 NMA1 SC BOXNO K</t>
  </si>
  <si>
    <t>HOF ASE8X8X4NK 133520 NEMA1 SC BOX-NO KO</t>
  </si>
  <si>
    <t>ASE8X8X4NK</t>
  </si>
  <si>
    <t>AK10637118</t>
  </si>
  <si>
    <t>HOF ASE8X8X4NK 133520 NEMA1 SC BOXNO KO</t>
  </si>
  <si>
    <t xml:space="preserve">CRH 462 147680 </t>
  </si>
  <si>
    <t>EXTT 51-241-48 1381663 4PR/24CMP-CAT5E-WH-PP</t>
  </si>
  <si>
    <t>EXTT</t>
  </si>
  <si>
    <t>51-241-48</t>
  </si>
  <si>
    <t>AK10279843</t>
  </si>
  <si>
    <t>DOTT KW812 112858 K-LATH SCREW</t>
  </si>
  <si>
    <t>KW812</t>
  </si>
  <si>
    <t>AK10965736</t>
  </si>
  <si>
    <t>DOTTIE KW812 K-LATH SCREW</t>
  </si>
  <si>
    <t>BLS B22SH-120GLV 115161 CHNL 1-5/8X1-5/8IN HSLT10FT
1 EACH = 1 FOOT</t>
  </si>
  <si>
    <t>AK10587934</t>
  </si>
  <si>
    <t>MIW 48-22-0428 3586099 25FT MAG TAPE MEASURE</t>
  </si>
  <si>
    <t>48-22-0428</t>
  </si>
  <si>
    <t>045242587537</t>
  </si>
  <si>
    <t>MILW 48-22-0428 25FT TAPE MEASURE</t>
  </si>
  <si>
    <t>APPT GRUJ-2P 1028562 3/4 JCT UNILET</t>
  </si>
  <si>
    <t>APPT</t>
  </si>
  <si>
    <t>GRUJ-2P</t>
  </si>
  <si>
    <t>AK10078214</t>
  </si>
  <si>
    <t>GRUJ2P</t>
  </si>
  <si>
    <t>APPLETON</t>
  </si>
  <si>
    <t>APP GRUJ2P 34 JCT UNILET</t>
  </si>
  <si>
    <t>GRC 3/4IN-GALV-STL 162383 COND WHEATLAND ONLY</t>
  </si>
  <si>
    <t>GRC</t>
  </si>
  <si>
    <t>3/4IN-GALV-STL</t>
  </si>
  <si>
    <t>WHEATLAND TUBE</t>
  </si>
  <si>
    <t>WHEATLAND</t>
  </si>
  <si>
    <t>APPT UNF75NR 1027980 3/4 FEMALE UNION</t>
  </si>
  <si>
    <t>UNF75NR</t>
  </si>
  <si>
    <t>AK10079302</t>
  </si>
  <si>
    <t>APPT UNF75NR 34 FEMALE UNION</t>
  </si>
  <si>
    <t>BLS B2009ZN 115734 3/4 RGD COND CLMP 3/4IN ZNC PLTD</t>
  </si>
  <si>
    <t>B2009ZN</t>
  </si>
  <si>
    <t>AK10245918</t>
  </si>
  <si>
    <t>LITH CPHB 3540268 30LM MVOLT 50K 22IN HIGH BAY</t>
  </si>
  <si>
    <t>LITH</t>
  </si>
  <si>
    <t>CPHB</t>
  </si>
  <si>
    <t>AK10988006</t>
  </si>
  <si>
    <t>BLS B54SH-120GLV 115236 CHNL 13/16X1-5/8IN HSLOT</t>
  </si>
  <si>
    <t>B54SH-120GLV</t>
  </si>
  <si>
    <t>AK10249433</t>
  </si>
  <si>
    <t>B54SH120GLV</t>
  </si>
  <si>
    <t>BLS B54SH120GLV 115236 CHNL 1316X158IN HSLOT</t>
  </si>
  <si>
    <t>BLS B280SS4 2735408 POST BASE FOR 1 5/8-</t>
  </si>
  <si>
    <t>B280SS4</t>
  </si>
  <si>
    <t>AK10247151</t>
  </si>
  <si>
    <t>BLS B280SS4 2735408 POST BASE FOR 1 58</t>
  </si>
  <si>
    <t xml:space="preserve">PIC 3/4X6-GALV-NIP 109240 </t>
  </si>
  <si>
    <t>3/4X6-GALV-NIP</t>
  </si>
  <si>
    <t>AK10432169</t>
  </si>
  <si>
    <t xml:space="preserve">PIC 3/4X5-GALV-NIP 109237 </t>
  </si>
  <si>
    <t>3/4X5-GALV-NIP</t>
  </si>
  <si>
    <t>AK10432162</t>
  </si>
  <si>
    <t>APPT EYS216 1033702 3/4 COND SEAL
APPT</t>
  </si>
  <si>
    <t>EYS216</t>
  </si>
  <si>
    <t>AK10077895</t>
  </si>
  <si>
    <t>APPT EYS216 1033702 34 COND SEAL</t>
  </si>
  <si>
    <t>APPT ELBY-75 1028431 3/4 90D CAPPED ELL
APPT</t>
  </si>
  <si>
    <t>ELBY-75</t>
  </si>
  <si>
    <t>AK10077775</t>
  </si>
  <si>
    <t>ELBY75</t>
  </si>
  <si>
    <t>APPT ELBY75 1028431 34 90D CAPPED ELL</t>
  </si>
  <si>
    <t xml:space="preserve">PIC 3/4XCLOSEX1-3/8-GALV-NIP 109208 </t>
  </si>
  <si>
    <t>3/4XCLOSEX1-3/8-GALV-NIP</t>
  </si>
  <si>
    <t>AK10424153</t>
  </si>
  <si>
    <t>THM CC-NPT-12-B 786338 BLACK 1/2NPT .394 -. 551 DIA</t>
  </si>
  <si>
    <t>CC-NPT-12-B</t>
  </si>
  <si>
    <t>AK10027705</t>
  </si>
  <si>
    <t>CRH 11 775816 1/2 LCKNT STL RGD/IMC</t>
  </si>
  <si>
    <t>AK10278468</t>
  </si>
  <si>
    <t>GRE 645-1-1/8 785613 CARB-TIP HOLE CUTTER 05697</t>
  </si>
  <si>
    <t>645-1-1/8</t>
  </si>
  <si>
    <t>AK10975389</t>
  </si>
  <si>
    <t>GRE 645118 CARBTIP HOLE CUTTER 05697</t>
  </si>
  <si>
    <t>GRE 462-1 128588 1GAL DARK THRDING OIL ATTENTION: Hazardous material: ORM-D hazard class. DO NOT SHIP AIR !!!</t>
  </si>
  <si>
    <t>462-1</t>
  </si>
  <si>
    <t>AK10974837</t>
  </si>
  <si>
    <t>GRE 4621 128588 1GAL DARK THRDING OIL ATTENTION: HAZARDOUS MATERIAL: ORMD HAZARD CLASS. DO NOT SHIP AIR !!!</t>
  </si>
  <si>
    <t>WIM V4000B-10 169219 IVY RACEWAY BASE P/FT 10FT</t>
  </si>
  <si>
    <t>WIM</t>
  </si>
  <si>
    <t>V4000B-10</t>
  </si>
  <si>
    <t>AK10566697</t>
  </si>
  <si>
    <t>LEV GFNT2-HGI 3273928 GFCIRCPT 5-20R 20A 2P3W IVY</t>
  </si>
  <si>
    <t>GFNT2-HGI</t>
  </si>
  <si>
    <t>AK10579756</t>
  </si>
  <si>
    <t>GFNT2</t>
  </si>
  <si>
    <t>078477712733</t>
  </si>
  <si>
    <t>AK10579739</t>
  </si>
  <si>
    <t>LEV GFNT2 SELFTEST SLIM NONTAMPER RESISTANT GFCIRECEPTACLE NEMA 520R 20A125V @ RECEPTACLE 20A125V FEEDTHROUGH BROWN CS10100</t>
  </si>
  <si>
    <t xml:space="preserve">PIC 2IN-90DEG-EMT-ELBOW 109462 </t>
  </si>
  <si>
    <t>2IN-90DEG-EMT-ELBOW</t>
  </si>
  <si>
    <t>AK10431938</t>
  </si>
  <si>
    <t>CRH 465 147687 2 SSCR CPLG STL EMT</t>
  </si>
  <si>
    <t>AK10279873</t>
  </si>
  <si>
    <t xml:space="preserve">THHN SS-THHN-2-GRN-19STR-CU-1000R 2251523 </t>
  </si>
  <si>
    <t>THHN</t>
  </si>
  <si>
    <t>SS-THHN-2-GRN-19STR-CU-1000R</t>
  </si>
  <si>
    <t>THM 6H5B 162989 COND HGR 2IN STL W/BOLT</t>
  </si>
  <si>
    <t>6H5B</t>
  </si>
  <si>
    <t>AK10020346</t>
  </si>
  <si>
    <t>MIW 48-89-2738 2447296 BIT 1/2IN THUNDERBOLT</t>
  </si>
  <si>
    <t>48-89-2738</t>
  </si>
  <si>
    <t>AK10610210</t>
  </si>
  <si>
    <t>045242167111</t>
  </si>
  <si>
    <t>MIW 48892738 2447296 BIT 12IN THUNDERBOLT</t>
  </si>
  <si>
    <t>MIW 48-89-2722 2447281 BIT 1/4IN THUNDERBOLT /5</t>
  </si>
  <si>
    <t>48-89-2722</t>
  </si>
  <si>
    <t>AK10610194</t>
  </si>
  <si>
    <t>045242166916</t>
  </si>
  <si>
    <t>MIW 48892722 BIT 14IN THUNDERBOLT 5</t>
  </si>
  <si>
    <t>MIW 48-89-2730 2434513 BIT 3/8IN THUNDERBOLT BLACK</t>
  </si>
  <si>
    <t>48-89-2730</t>
  </si>
  <si>
    <t>AK10610202</t>
  </si>
  <si>
    <t>045242167012</t>
  </si>
  <si>
    <t>MIL 48892730 BIT 38 THUNDERBOLT BLACK OXIDE</t>
  </si>
  <si>
    <t>BUR KS23 121911 2STR SPLIT BOLT CONN</t>
  </si>
  <si>
    <t>KS23</t>
  </si>
  <si>
    <t>AK10465300</t>
  </si>
  <si>
    <t>KICL 34790 148366 KC X60 DRY WIPE 10/CS
1EA=1 BOX 10 BOX=1 CAS</t>
  </si>
  <si>
    <t>KICL</t>
  </si>
  <si>
    <t>AK10988188</t>
  </si>
  <si>
    <t>095691347909</t>
  </si>
  <si>
    <t>RDG 34790 SET OF 5 PINS &amp; CLIP</t>
  </si>
  <si>
    <t>PAN PLT4H-L0 567594 CBL TIE 14.5L 368M BLK</t>
  </si>
  <si>
    <t>PLT4H-L0</t>
  </si>
  <si>
    <t>AK10699922</t>
  </si>
  <si>
    <t>PLT4HL0</t>
  </si>
  <si>
    <t>074983540921</t>
  </si>
  <si>
    <t>PAN PLT4HL0 567594 CBL TIE 14.5L 368M BLK</t>
  </si>
  <si>
    <t>CRH 2B 775575 1-IN COND HANGER W/BOLT
CRH</t>
  </si>
  <si>
    <t>2B</t>
  </si>
  <si>
    <t>AK10279370</t>
  </si>
  <si>
    <t>AMLG 5LCS-24-5CCT-WH 3574069 UCAB 15W 24IN LED</t>
  </si>
  <si>
    <t>AMLG</t>
  </si>
  <si>
    <t>5LCS-24-5CCT-WH</t>
  </si>
  <si>
    <t>LITH CPX2X4ALO8SWW7M2 3521176 35/40/50K LUMEN SELECT BOX CONTAINS 2 EA. SOLD BY THE EACH</t>
  </si>
  <si>
    <t>CPX2X4ALO8SWW7M2</t>
  </si>
  <si>
    <t>AK10061241</t>
  </si>
  <si>
    <t>LUMEN</t>
  </si>
  <si>
    <t>LITH CPX2X2ALO7SWW7M4 3521177 35/40/50K LUMEN SELECT</t>
  </si>
  <si>
    <t>CPX2X2ALO7SWW7M4</t>
  </si>
  <si>
    <t>AK10061234</t>
  </si>
  <si>
    <t>LEV IP710-DLZ 1975400 DMR SWITCH-0-10 V 120-277V</t>
  </si>
  <si>
    <t>IP710-DLZ</t>
  </si>
  <si>
    <t>AK10580201</t>
  </si>
  <si>
    <t>GRE 7212SP11 2863862 3/4 X 4.77 SPEED PUNCH DRAWSTUD</t>
  </si>
  <si>
    <t>7212SP11</t>
  </si>
  <si>
    <t>AK10975515</t>
  </si>
  <si>
    <t>ALB 100-C09EJ10 2308037 CONTACTOR-ELECTRONI</t>
  </si>
  <si>
    <t>ALB</t>
  </si>
  <si>
    <t>100-C09EJ10</t>
  </si>
  <si>
    <t>ALB 193-1EEDB 3513766 E100 3.2-16.0 ADIRECT MNT OVR</t>
  </si>
  <si>
    <t>193-1EEDB</t>
  </si>
  <si>
    <t>ALB 1606-XLP30E 1420596 24VDC 30W 120/2</t>
  </si>
  <si>
    <t>1606-XLP30E</t>
  </si>
  <si>
    <t>HOF A1212CH 134594 PIANO HINGE JIC BOX</t>
  </si>
  <si>
    <t>A1212CH</t>
  </si>
  <si>
    <t>AK10634002</t>
  </si>
  <si>
    <t xml:space="preserve">EMT 1/2IN-EMT-PUR 3180980 </t>
  </si>
  <si>
    <t>1/2IN-EMT-PUR</t>
  </si>
  <si>
    <t>HOF A12P12 134567 PANEL ONLY</t>
  </si>
  <si>
    <t>A12P12</t>
  </si>
  <si>
    <t>AK10634040</t>
  </si>
  <si>
    <t xml:space="preserve">EMT 1/2IN-EMT 167236 </t>
  </si>
  <si>
    <t>1/2IN-EMT</t>
  </si>
  <si>
    <t>CRH AMR2 2440032 4SQ CVR STL 5/8RSD 2G ADJ</t>
  </si>
  <si>
    <t>AMR2</t>
  </si>
  <si>
    <t>AK10284740</t>
  </si>
  <si>
    <t>CRH TP403 1956719 4SQ BX 2-1/8D 1/2IN-3/4IN KO</t>
  </si>
  <si>
    <t>CRH TP403 4SQ BX 218D 12IN34IN KO</t>
  </si>
  <si>
    <t>BLS BB8-16 129059 SW BX CLIP 16IN</t>
  </si>
  <si>
    <t>BB8-16</t>
  </si>
  <si>
    <t>AK10250227</t>
  </si>
  <si>
    <t>BB816</t>
  </si>
  <si>
    <t>BLS BB816 129059 SW BX CLIP 16IN</t>
  </si>
  <si>
    <t>CRH TP500 1994285 4SQ CVR STL 3/4RSD 2DEV</t>
  </si>
  <si>
    <t>TP500</t>
  </si>
  <si>
    <t>AK10302355</t>
  </si>
  <si>
    <t>CRH TP500 1994285 4SQ CVR STL 34RSD 2DEV</t>
  </si>
  <si>
    <t>CRH TP486 1994658 4SQ CVR STL 3/4RSD 1DEV</t>
  </si>
  <si>
    <t>TP486</t>
  </si>
  <si>
    <t>AK10302339</t>
  </si>
  <si>
    <t>CRH TP472 1994670 4SQ CVR STL FLT BLNK</t>
  </si>
  <si>
    <t xml:space="preserve">EMT 3/4IN-EMT-BLU 1950621 </t>
  </si>
  <si>
    <t>3/4IN-EMT-BLU</t>
  </si>
  <si>
    <t xml:space="preserve"> LSC353020-A3507 QUOTE 1006662</t>
  </si>
  <si>
    <t>LSC353020-A3507</t>
  </si>
  <si>
    <t>LSC353020</t>
  </si>
  <si>
    <t>HOFF LSC353020 ENCLOSURE</t>
  </si>
  <si>
    <t xml:space="preserve">THHN THHN-10-RED-19STR-CU-2/500CTN 156230 </t>
  </si>
  <si>
    <t>THHN-10-RED-19STR-CU-2/500CTN</t>
  </si>
  <si>
    <t>AK10438107</t>
  </si>
  <si>
    <t>THM 2922NM 166029 1/2 CORD L-T CONN NYL .5 -. 75</t>
  </si>
  <si>
    <t>2922NM</t>
  </si>
  <si>
    <t>AK10015736</t>
  </si>
  <si>
    <t>MMM 33-SUPER-3/4X76FT 3459182 PLSTC TAPE 1IN CORE</t>
  </si>
  <si>
    <t>33-SUPER-3/4X76FT</t>
  </si>
  <si>
    <t>CCTI 725116YW5S 3333897 18/4-22/2-22/4-22/6-SH-PL500R</t>
  </si>
  <si>
    <t>CCTI</t>
  </si>
  <si>
    <t>725116YW5S</t>
  </si>
  <si>
    <t>BUS LPJ-30SP 114020 FUSE CL-J 30A 600V TD LWPK</t>
  </si>
  <si>
    <t>LPJ-30SP</t>
  </si>
  <si>
    <t>AK10274535</t>
  </si>
  <si>
    <t>HOF A303608LP 608113 NEMA12 ENCL</t>
  </si>
  <si>
    <t>A303608LP</t>
  </si>
  <si>
    <t>AK10634658</t>
  </si>
  <si>
    <t>HOF A36P30 131458 PANEL ONLY</t>
  </si>
  <si>
    <t>A36P30</t>
  </si>
  <si>
    <t>AK10634911</t>
  </si>
  <si>
    <t>SQD NSYCVF85M24DPF 2701228 FAN WITH FILTER</t>
  </si>
  <si>
    <t>NSYCVF85M24DPF</t>
  </si>
  <si>
    <t>AK10800955</t>
  </si>
  <si>
    <t>CPR SA2 163039 TAPE SHIELD ADPTR .83-1.64</t>
  </si>
  <si>
    <t>CPR</t>
  </si>
  <si>
    <t>SA2</t>
  </si>
  <si>
    <t>AK10989799</t>
  </si>
  <si>
    <t>SQD NSYCAG125LPF 2701229 OUTLET GRILL W/FILTER</t>
  </si>
  <si>
    <t>NSYCAG125LPF</t>
  </si>
  <si>
    <t>AK10800753</t>
  </si>
  <si>
    <t>SQD GV2P08 681792 IEC MAN STARTER</t>
  </si>
  <si>
    <t>GV2P08</t>
  </si>
  <si>
    <t>AK10790779</t>
  </si>
  <si>
    <t>SQD GV2P10 681801 IEC MAN STARTER</t>
  </si>
  <si>
    <t>GV2P10</t>
  </si>
  <si>
    <t>AK10790780</t>
  </si>
  <si>
    <t>SQD GV2P14 681550 IEC MINI STARTER</t>
  </si>
  <si>
    <t>GV2P14</t>
  </si>
  <si>
    <t>AK10790781</t>
  </si>
  <si>
    <t>SQD GVAE1 1204399 IEC AUX CONTACT BLOCK</t>
  </si>
  <si>
    <t>GVAE1</t>
  </si>
  <si>
    <t>AK10790874</t>
  </si>
  <si>
    <t>SQD LC1D09BD 1182041 9A 24VDC CONTACTOR</t>
  </si>
  <si>
    <t>LC1D09BD</t>
  </si>
  <si>
    <t>AK10795094</t>
  </si>
  <si>
    <t>CRH TP7292 1994916 WP-CVR 1G VERT/HORI BLANK AL CRH</t>
  </si>
  <si>
    <t>TP7292</t>
  </si>
  <si>
    <t>AK10302672</t>
  </si>
  <si>
    <t>CRH TP7292 1994916 WPCVR 1G VERTHORI BLANK AL CRH</t>
  </si>
  <si>
    <t>SQD LC2D09BD 1182606 9A 24VDC REV CONTACTOR</t>
  </si>
  <si>
    <t>LC2D09BD</t>
  </si>
  <si>
    <t>AK10795921</t>
  </si>
  <si>
    <t>LEV 84014 119747 WLPLT 1G BLNK STD SS MTLC SCR</t>
  </si>
  <si>
    <t>AK10577502</t>
  </si>
  <si>
    <t>078477430200</t>
  </si>
  <si>
    <t>SQD XPSBAC14AP 3562347 ESTOP GUARD 24 V NO INPUTS</t>
  </si>
  <si>
    <t>XPSBAC14AP</t>
  </si>
  <si>
    <t>SQD GS2EU3N 3082516 30A RETROFIT DISCONNECT</t>
  </si>
  <si>
    <t>GS2EU3N</t>
  </si>
  <si>
    <t>AK10790668</t>
  </si>
  <si>
    <t>ARLI 851 SQZ 581278 CONN 1/2 D/C FLEX 90DEG</t>
  </si>
  <si>
    <t>851 SQZ</t>
  </si>
  <si>
    <t>AK10082925</t>
  </si>
  <si>
    <t>SQD GS2AE2 3082518 SHAFT 10MM X 10MM X 320MM</t>
  </si>
  <si>
    <t>GS2AE2</t>
  </si>
  <si>
    <t>AK10790636</t>
  </si>
  <si>
    <t>SQD GS2AH130 2922449 100-400A DISCONNECT HANDLE BLK</t>
  </si>
  <si>
    <t>GS2AH130</t>
  </si>
  <si>
    <t>AK10790651</t>
  </si>
  <si>
    <t>SQD ABL8RPS24050 2261566 POWER SUPPLY 24VDC 5AMP PHA</t>
  </si>
  <si>
    <t>ABL8RPS24050</t>
  </si>
  <si>
    <t>AK10782527</t>
  </si>
  <si>
    <t>BUS GMA-5-R 1986339 FUSE 5A 125V FA GLS 5X20MM</t>
  </si>
  <si>
    <t>GMA-5-R</t>
  </si>
  <si>
    <t>AK10272251</t>
  </si>
  <si>
    <t>BUS GMA-2-R 1986330 FUSE 2A 250V FA GLS 5X20MM</t>
  </si>
  <si>
    <t>GMA-2-R</t>
  </si>
  <si>
    <t>AK10272237</t>
  </si>
  <si>
    <t>BUS GMA-1-R 1986324 FUSE 1A 250V FA GLS 5X20MM</t>
  </si>
  <si>
    <t>GMA-1-R</t>
  </si>
  <si>
    <t>SQD VW3A7723 2992643 ATV 312 BRAKING RESISTOR</t>
  </si>
  <si>
    <t>VW3A7723</t>
  </si>
  <si>
    <t>AK10816130</t>
  </si>
  <si>
    <t>SQD GV2G445 656605 STARTER CABLE BUSBAR</t>
  </si>
  <si>
    <t>GV2G445</t>
  </si>
  <si>
    <t>AK10790722</t>
  </si>
  <si>
    <t>SQD GV1G09 537792 TOP FEED BLOCK</t>
  </si>
  <si>
    <t>GV1G09</t>
  </si>
  <si>
    <t>BUS LP-CC-1 113318 FUSE CL-CC 1A 600V TD LWPK</t>
  </si>
  <si>
    <t>LP-CC-1</t>
  </si>
  <si>
    <t>BUS LP-CC-2 113291 FUSE CL-CC 2A 600V TD LWPK</t>
  </si>
  <si>
    <t>LP-CC-2</t>
  </si>
  <si>
    <t>SQD GV2G245 656624 STARTER CABLE BUSBAR</t>
  </si>
  <si>
    <t>GV2G245</t>
  </si>
  <si>
    <t>AK10790717</t>
  </si>
  <si>
    <t>CRH TP404 793014 4SQ BX 1-1/2D 1/2IN-3/4IN KO</t>
  </si>
  <si>
    <t>TP404</t>
  </si>
  <si>
    <t>AK10302227</t>
  </si>
  <si>
    <t>CRH TP404 793014 4SQ BX 112D 12IN34IN KO</t>
  </si>
  <si>
    <t>CRH TP480 1994662 4SQ CVR STL FLT 1DEV</t>
  </si>
  <si>
    <t>TP480</t>
  </si>
  <si>
    <t>AK10302334</t>
  </si>
  <si>
    <t xml:space="preserve">EPVC ELB-PN-4IN-45DEG-36RAD-SCH40 174215 </t>
  </si>
  <si>
    <t>EPVC</t>
  </si>
  <si>
    <t>ELB-PN-4IN-45DEG-36RAD-SCH40</t>
  </si>
  <si>
    <t>AK10613894</t>
  </si>
  <si>
    <t xml:space="preserve">EPVC ELB-PN-4IN-45DEG-36RAD-SCH80 172919 </t>
  </si>
  <si>
    <t>ELB-PN-4IN-45DEG-36RAD-SCH80</t>
  </si>
  <si>
    <t>AK10054436</t>
  </si>
  <si>
    <t>PAN HSTT200-L 633175 HEAT SHRINK THIN 2 5</t>
  </si>
  <si>
    <t>HSTT200-L</t>
  </si>
  <si>
    <t>AK10687804</t>
  </si>
  <si>
    <t>HSTT200L</t>
  </si>
  <si>
    <t>074983914944</t>
  </si>
  <si>
    <t>PAND HSTT200-L HEAT SHRK TUBING</t>
  </si>
  <si>
    <t xml:space="preserve">EPVC ELB-PN-4IN-90DEG-36RAD-SCH80 172932 </t>
  </si>
  <si>
    <t>ELB-PN-4IN-90DEG-36RAD-SCH80</t>
  </si>
  <si>
    <t>AK10613683</t>
  </si>
  <si>
    <t>SQD GV2P07 681782 IEC MAN STARTER</t>
  </si>
  <si>
    <t>GV2P07</t>
  </si>
  <si>
    <t>AK10790778</t>
  </si>
  <si>
    <t>PAN DS1 116358 DUCT SEAL COMPOUND 1 LB</t>
  </si>
  <si>
    <t>DS1</t>
  </si>
  <si>
    <t>AK10665980</t>
  </si>
  <si>
    <t>PAN BT4LH-L0 565567 CBL TIE MTL BRB 14.9L 378MM BLK</t>
  </si>
  <si>
    <t>BT4LH-L0</t>
  </si>
  <si>
    <t>AK10662352</t>
  </si>
  <si>
    <t>BT4LHL0</t>
  </si>
  <si>
    <t>074983412686</t>
  </si>
  <si>
    <t>PAN BT4LHL0 565567 CBL TIE MTL BRB 14.9L 378MM BLK</t>
  </si>
  <si>
    <t>BLS B2017ZN 115759 4 RGD COND CLMP 4IN ZN 1EA= 2 BRACKETS, 1 BOLT, 1 NUT</t>
  </si>
  <si>
    <t>B2017ZN</t>
  </si>
  <si>
    <t>AK10246054</t>
  </si>
  <si>
    <t>BLS B2017ZN 115759 4 RGD COND CLMP 4IN ZN 1EA 2 BRACKETS 1 BOLT 1 NUT</t>
  </si>
  <si>
    <t>CHN GC207 152865 BRNZ GRD CONN</t>
  </si>
  <si>
    <t>CHN</t>
  </si>
  <si>
    <t>GC207</t>
  </si>
  <si>
    <t>AK10483091</t>
  </si>
  <si>
    <t>FLX 1-1/4IN-NMUA/UL/LFNC GRY 50C 152516 "NMUA FLEX IS NON-METALLIC WITHOUT METAL FLEX"</t>
  </si>
  <si>
    <t>1-1/4IN-NMUA/UL/LFNC GRY 50C</t>
  </si>
  <si>
    <t>METALLICS</t>
  </si>
  <si>
    <t>METALLIC</t>
  </si>
  <si>
    <t>LEV ODS15-IDW 978522 OCCY-SNSR WALL-SW WHT IR</t>
  </si>
  <si>
    <t>ODS15-IDW</t>
  </si>
  <si>
    <t>AK10582331</t>
  </si>
  <si>
    <t>SQD 909503 ZBVB1 LIGHT MODULE</t>
  </si>
  <si>
    <t>AK10826527</t>
  </si>
  <si>
    <t>FUNC RIB023P 2038165 RELAY 208-277AC 3PDT-N/O</t>
  </si>
  <si>
    <t>FUNC</t>
  </si>
  <si>
    <t>RIB023P</t>
  </si>
  <si>
    <t>WIM 5703WH 1026522 WHT STL SUPPORT CLIP</t>
  </si>
  <si>
    <t>5703WH</t>
  </si>
  <si>
    <t>AK10563623</t>
  </si>
  <si>
    <t>BUR BIBS2/03 968366 MULTIPLE WIRE TERM</t>
  </si>
  <si>
    <t>BIBS2/03</t>
  </si>
  <si>
    <t>AK10463325</t>
  </si>
  <si>
    <t>AMLG 5LCS-32-5CCT-WH 3574070 UCAB 16.5W 32IN LED</t>
  </si>
  <si>
    <t>5LCS-32-5CCT-WH</t>
  </si>
  <si>
    <t>AMLG 5LCS-16-5CCT-WH 3574067 UCAB 11W 16IN LED</t>
  </si>
  <si>
    <t>5LCS-16-5CCT-WH</t>
  </si>
  <si>
    <t>AMLG 5LCS-10-5CCT-WH 3574066 UCAB 7W 10IN LED</t>
  </si>
  <si>
    <t>5LCS-10-5CCT-WH</t>
  </si>
  <si>
    <t>AMLG 5LCS-32-5CCT-WH 3574070 UCAB 16.5W 32IN LED
Call Chris when in</t>
  </si>
  <si>
    <t xml:space="preserve">EPVC 2PC-EXP-CPLG-4IN-PVC 104529 </t>
  </si>
  <si>
    <t>2PC-EXP-CPLG-4IN-PVC</t>
  </si>
  <si>
    <t>AK10031740</t>
  </si>
  <si>
    <t xml:space="preserve">EPVC 2PC-EXP-CPLG-3IN-PVC 104527 </t>
  </si>
  <si>
    <t>2PC-EXP-CPLG-3IN-PVC</t>
  </si>
  <si>
    <t>AK10031735</t>
  </si>
  <si>
    <t xml:space="preserve">EPVC 2PC-EXP-CPLG-2IN-PVC 104525 </t>
  </si>
  <si>
    <t>2PC-EXP-CPLG-2IN-PVC</t>
  </si>
  <si>
    <t>AK10031728</t>
  </si>
  <si>
    <t xml:space="preserve">EPVC TERM-ADPT-2IN-PVC 104787 </t>
  </si>
  <si>
    <t>TERM-ADPT-2IN-PVC</t>
  </si>
  <si>
    <t>AK10031701</t>
  </si>
  <si>
    <t xml:space="preserve">EPVC TERM-ADPT-3IN-PVC 104813 </t>
  </si>
  <si>
    <t>TERM-ADPT-3IN-PVC</t>
  </si>
  <si>
    <t>AK10031707</t>
  </si>
  <si>
    <t xml:space="preserve">EPVC TERM-ADPT-4IN-PVC 104839 </t>
  </si>
  <si>
    <t>TERM-ADPT-4IN-PVC</t>
  </si>
  <si>
    <t>AK10031710</t>
  </si>
  <si>
    <t>BUR YGHC34C26 122797 500MCM COMPGRD TAP</t>
  </si>
  <si>
    <t>YGHC34C26</t>
  </si>
  <si>
    <t>AK10471434</t>
  </si>
  <si>
    <t>LEV 80714-W 120317 WLPLT 1G BLNK STD WHT NYL SCR</t>
  </si>
  <si>
    <t>80714-W</t>
  </si>
  <si>
    <t>AK10577128</t>
  </si>
  <si>
    <t>80714W</t>
  </si>
  <si>
    <t>078477493946</t>
  </si>
  <si>
    <t>LEV 80714W 120317 WLPLT 1G BLNK STD WHT NYL SCR</t>
  </si>
  <si>
    <t>RDAL FL3-LED51-B-4K-BRZ-DIM-KN 3550908 052152</t>
  </si>
  <si>
    <t>RDAL</t>
  </si>
  <si>
    <t>FL3-LED51-B-4K-BRZ-DIM-KN</t>
  </si>
  <si>
    <t>AK10762425</t>
  </si>
  <si>
    <t>HOF F88G48 134302 WRWY N1 8X8X48IN STL</t>
  </si>
  <si>
    <t>F88G48</t>
  </si>
  <si>
    <t>AK10640886</t>
  </si>
  <si>
    <t xml:space="preserve">RDAL FL3-LED51-B-4K-BRZ-DIM-KN 3550908 </t>
  </si>
  <si>
    <t>LTF LRU216R 124157 RDCR 100-60A 250V OR 100-30A 600</t>
  </si>
  <si>
    <t>LTF</t>
  </si>
  <si>
    <t>LRU216R</t>
  </si>
  <si>
    <t>AK10592741</t>
  </si>
  <si>
    <t>LITTELFUSE</t>
  </si>
  <si>
    <t>079458010671</t>
  </si>
  <si>
    <t>L-FSE LRU-216R FUSE REDUCER</t>
  </si>
  <si>
    <t>LTF FLSR020ID 124587 FUSE CL-RK5 20A 600V TD IND</t>
  </si>
  <si>
    <t>FLSR020ID</t>
  </si>
  <si>
    <t>AK10591554</t>
  </si>
  <si>
    <t>079458025385</t>
  </si>
  <si>
    <t>LTF FLSR020ID 124587 FUSE CLRK5 20A 600V TD IND</t>
  </si>
  <si>
    <t>THM DF4X1C-5200 919030 1 IN RISER ORG W/TAPE</t>
  </si>
  <si>
    <t>DF4X1C-5200</t>
  </si>
  <si>
    <t>SQD 8910DP32V14 272938 24V CONTACTOR Shop</t>
  </si>
  <si>
    <t>8910DP32V14</t>
  </si>
  <si>
    <t>PAN C1.5WH6 116325 1-1/2 WHT CVR P/FT</t>
  </si>
  <si>
    <t>C1.5WH6</t>
  </si>
  <si>
    <t>074983230624</t>
  </si>
  <si>
    <t>PAND C1.5WH6 1-1/2 WHT CVR P/FT</t>
  </si>
  <si>
    <t>PAN C2WH6 116329 2-IN WHT CVR P/FT</t>
  </si>
  <si>
    <t>C2WH6</t>
  </si>
  <si>
    <t>074983230822</t>
  </si>
  <si>
    <t>AK10662797</t>
  </si>
  <si>
    <t>PAN C2WH6 116329 2IN WHT CVR PFT</t>
  </si>
  <si>
    <t>PAN C1WH6 116322 1-IN WHT CVR P/FT</t>
  </si>
  <si>
    <t>C1WH6</t>
  </si>
  <si>
    <t>074983230426</t>
  </si>
  <si>
    <t>AK10662571</t>
  </si>
  <si>
    <t>PAN C1WH6 116322 1IN WHT CVR PFT</t>
  </si>
  <si>
    <t>NODT 60220 3387873 6-32 SP/PT 2 FLT H2 TAP
Shop</t>
  </si>
  <si>
    <t>NODT</t>
  </si>
  <si>
    <t>PAN PV14-10LF-C 572712 LOCKING FORK TERMIN Shop</t>
  </si>
  <si>
    <t>PV14-10LF-C</t>
  </si>
  <si>
    <t>PV1410LFC</t>
  </si>
  <si>
    <t>074983808106</t>
  </si>
  <si>
    <t>PAND PV14-10LF-C #14 VNL FK TERM</t>
  </si>
  <si>
    <t>ERAI 111.023 1413182 35MMX5.2MM DIN RAIL 2M
Shop</t>
  </si>
  <si>
    <t>ERAI</t>
  </si>
  <si>
    <t>PAN F1X2WH6 116589 DUCT P/FT Shop</t>
  </si>
  <si>
    <t>F1X2WH6</t>
  </si>
  <si>
    <t>074983375103</t>
  </si>
  <si>
    <t>PAND F1X2WH6 SLTD WIRING DUCT</t>
  </si>
  <si>
    <t>ERAI 111.044 2700112 HIGH-RISE AL DIN RAIL
Shop</t>
  </si>
  <si>
    <t>ERAI 111.023 1413182 35MMX5.2MM DIN RAIL 2M</t>
  </si>
  <si>
    <t>PAN F1X3WH6 614988 DUCT P/FT</t>
  </si>
  <si>
    <t>F1X3WH6</t>
  </si>
  <si>
    <t>074983375141</t>
  </si>
  <si>
    <t>PAND F1X3WH6 SLTD WIRING DUCT</t>
  </si>
  <si>
    <t>ERAI 111.044 2700112 HIGH-RISE AL DIN RAIL</t>
  </si>
  <si>
    <t>PAN F3X3WH6 116607 DUCT P/FT</t>
  </si>
  <si>
    <t>F3X3WH6</t>
  </si>
  <si>
    <t>074983375769</t>
  </si>
  <si>
    <t>PAND F3X3WH6 SLTD WIRING DUCT</t>
  </si>
  <si>
    <t>PAN F1.5X3WH6 614993 DUCT P/FT</t>
  </si>
  <si>
    <t>F1.5X3WH6</t>
  </si>
  <si>
    <t>074983375363</t>
  </si>
  <si>
    <t>PAND F1.5X3WH6 SLTD WIRING DUCT</t>
  </si>
  <si>
    <t>PAN F1X2WH6 116589 DUCT P/FT</t>
  </si>
  <si>
    <t>PAN ABM2S-A-D 117098 CBL TIE MNT ADH. WHT
Shop</t>
  </si>
  <si>
    <t>ABM2S-A-D</t>
  </si>
  <si>
    <t>ABM2SAD</t>
  </si>
  <si>
    <t>074983580309</t>
  </si>
  <si>
    <t>PAND ABM2S-A-D CBL TIE MOUNT</t>
  </si>
  <si>
    <t>PAN PV14-10R-C 117521 RING TERMINAL VINYL Shop</t>
  </si>
  <si>
    <t>PV14-10R-C</t>
  </si>
  <si>
    <t>PV1410RC</t>
  </si>
  <si>
    <t>074983801206</t>
  </si>
  <si>
    <t>AK10707365</t>
  </si>
  <si>
    <t>PANDUIT CORP PV1410RC AK10707365 COO:MEXICO RING TERMINAL</t>
  </si>
  <si>
    <t>PAN ABMM-A-D 117142 CBL TIE MNT ADH. WHT
Shop</t>
  </si>
  <si>
    <t>ABMM-A-D</t>
  </si>
  <si>
    <t>GRE 925-7/8 1148085 HSS CTTR Shop</t>
  </si>
  <si>
    <t>925-7/8</t>
  </si>
  <si>
    <t>AK10976021</t>
  </si>
  <si>
    <t>GRE 92578 1148085 HSS CTTR</t>
  </si>
  <si>
    <t>GRE 925-011 1148077 HSS CTTR ARBOR SM
Shop</t>
  </si>
  <si>
    <t>925-011</t>
  </si>
  <si>
    <t>AK10976013</t>
  </si>
  <si>
    <t>GRE 925011 1148077 HSS CTTR ARBOR SM</t>
  </si>
  <si>
    <t>PAN PV14-8R-C 117520 RING TERMINAL VINYL
Shop</t>
  </si>
  <si>
    <t>PV14-8R-C</t>
  </si>
  <si>
    <t>PV148RC</t>
  </si>
  <si>
    <t>074983801183</t>
  </si>
  <si>
    <t>AK10707438</t>
  </si>
  <si>
    <t>PANDUIT CORP PV148RC AK10707438 COO:MEXICO RING TERMINAL</t>
  </si>
  <si>
    <t>PAN PLT1.5M-M 116796 CBL TIE 5.6L 142M NATURAL
Shop</t>
  </si>
  <si>
    <t>PLT1.5M-M</t>
  </si>
  <si>
    <t>BUS S506-2-R 1986028 BUSS SMALL DIMENSION
Shop</t>
  </si>
  <si>
    <t>S506-2-R</t>
  </si>
  <si>
    <t>BUSS</t>
  </si>
  <si>
    <t>BUS FNQ-R-1 113190 FUSE CL-CC 1A 600V TD TRON
Shop</t>
  </si>
  <si>
    <t>FNQ-R-1</t>
  </si>
  <si>
    <t>BUS CHCC2DIU 2727663 FUSHLDR MOD CL-CC 2P 600V 30A
Shop</t>
  </si>
  <si>
    <t>CHCC2DIU</t>
  </si>
  <si>
    <t>SQD 9070T50D2 619439 TFMR Shop</t>
  </si>
  <si>
    <t>9070T50D2</t>
  </si>
  <si>
    <t>BUR KA2U 122940 2AWG ALCU 1H TERM Shop</t>
  </si>
  <si>
    <t>KA2U</t>
  </si>
  <si>
    <t>NODT 39220 3081445 DRILL 29 HD SUPER PREMIUM
Shop</t>
  </si>
  <si>
    <t>095691392206</t>
  </si>
  <si>
    <t>RDG 39220 C148-1X 65R JP DRV PLATE</t>
  </si>
  <si>
    <t>PAN PV10-10R-L 117524 RING TERMINAL VINYL
Shop</t>
  </si>
  <si>
    <t>PV10-10R-L</t>
  </si>
  <si>
    <t>PV1010RL</t>
  </si>
  <si>
    <t>074983801329</t>
  </si>
  <si>
    <t>AK10707250</t>
  </si>
  <si>
    <t>PAN PV1010RL 117524 RING TERMINAL VINYL</t>
  </si>
  <si>
    <t>IDE 36-242 643448 4-IN SLOTTED SCRDRVR Shop</t>
  </si>
  <si>
    <t>36-242</t>
  </si>
  <si>
    <t>AK10520859</t>
  </si>
  <si>
    <t>IDE 36242 643448 4IN SLOTTED SCRDRVR</t>
  </si>
  <si>
    <t>NODT 39000 3081426 DRILL 7 HD SUPER PREMIUM
Shop</t>
  </si>
  <si>
    <t>095691390004</t>
  </si>
  <si>
    <t>RDG 39000 E808 OORB 7/8 BOLT HEAD</t>
  </si>
  <si>
    <t>NODT 60240 3387789 8-32 SP/PT PLUG 2 FLT H3
Shop</t>
  </si>
  <si>
    <t>095691602404</t>
  </si>
  <si>
    <t>RDG 60240 A2417 SPRING PIN</t>
  </si>
  <si>
    <t>NODT 92260 3081503 DRILL 36 HD SUPER PREMIUM
Shop</t>
  </si>
  <si>
    <t>NODT 60170 3387737 4-40 SP/PT PLUG TAP 2 FLT H2
Shop</t>
  </si>
  <si>
    <t>BUS FNQ-R-2 113198 FUSE CL-CC 2A 600V TD TRON
Shop</t>
  </si>
  <si>
    <t>FNQ-R-2</t>
  </si>
  <si>
    <t>PAN PV14-8LF-C 117565 LOCKING FORK TERMINA
Shop</t>
  </si>
  <si>
    <t>PV14-8LF-C</t>
  </si>
  <si>
    <t>PV148LFC</t>
  </si>
  <si>
    <t>074983808083</t>
  </si>
  <si>
    <t>PAND PV14-8LF-C #14 VNL FK TERM</t>
  </si>
  <si>
    <t>MMM 2090-48EC 3274262 1.88INX60YD-BL TAPE 1
Shop</t>
  </si>
  <si>
    <t>2090-48EC</t>
  </si>
  <si>
    <t>MMM 2090-48EC 3274262 1.88INX60YD-BL TAPE 1 Shop</t>
  </si>
  <si>
    <t>PAN D14-250-C 117575 FEMALE DISCONNECT NO
Shop</t>
  </si>
  <si>
    <t>D14-250-C</t>
  </si>
  <si>
    <t>D14250C</t>
  </si>
  <si>
    <t>074983822027</t>
  </si>
  <si>
    <t>PAND D14-250-C #14 N/I F DISC</t>
  </si>
  <si>
    <t>BUR CT50175C 1442736 8IN NYL CABLE TIE</t>
  </si>
  <si>
    <t>CT50175C</t>
  </si>
  <si>
    <t>AK10464082</t>
  </si>
  <si>
    <t>CRH 302DC 775077 1 O/S NIP D/C RGD/IMC</t>
  </si>
  <si>
    <t>302DC</t>
  </si>
  <si>
    <t>AK10279384</t>
  </si>
  <si>
    <t>BUR KA29U 122945 250 ALCU 1H TERM LUG</t>
  </si>
  <si>
    <t>KA29U</t>
  </si>
  <si>
    <t>AK10465147</t>
  </si>
  <si>
    <t>BRFI SGB-390CL 3010432 4 SPLT GND BSH W LUG 6-3/0</t>
  </si>
  <si>
    <t>BRFI</t>
  </si>
  <si>
    <t>SGB-390CL</t>
  </si>
  <si>
    <t>AK10624408</t>
  </si>
  <si>
    <t>SGB390CL</t>
  </si>
  <si>
    <t>BRFI SGB390CL 3010432 4 SPLT GND BSH W LUG 630</t>
  </si>
  <si>
    <t>BUR KA36U 122961 600 ALCU 1H TERM LUG</t>
  </si>
  <si>
    <t>KA36U</t>
  </si>
  <si>
    <t>AK10465163</t>
  </si>
  <si>
    <t>CRH GLL10-DC 2440516 4 GRND BSHG IT W/LUG</t>
  </si>
  <si>
    <t>GLL10-DC</t>
  </si>
  <si>
    <t>AK10296554</t>
  </si>
  <si>
    <t>GLL10DC</t>
  </si>
  <si>
    <t>CRH GLL10DC 2440516 4 GRND BSHG IT WLUG</t>
  </si>
  <si>
    <t>POWA PS-1100-AS-4-EG 2355206 GRC CLAMP</t>
  </si>
  <si>
    <t>POWA</t>
  </si>
  <si>
    <t>PS-1100-AS-4-EG</t>
  </si>
  <si>
    <t>AK10085856</t>
  </si>
  <si>
    <t>PS1100AS4EG</t>
  </si>
  <si>
    <t>ALLIED TUBE &amp; CONDUIT</t>
  </si>
  <si>
    <t>POWA PS1100AS4EG 2355206 GRC CLAMP</t>
  </si>
  <si>
    <t>HOF F66G24 134213 WRWY N1 6X6X24IN STL</t>
  </si>
  <si>
    <t>F66G24</t>
  </si>
  <si>
    <t>AK10640678</t>
  </si>
  <si>
    <t>CRH TP432 1956720 4SQ BX 2-1/8D WLD 3/4IN KO CRH</t>
  </si>
  <si>
    <t>TP432</t>
  </si>
  <si>
    <t>AK10302273</t>
  </si>
  <si>
    <t>CRH TP432 1956720 4SQ BX 218D WLD 34IN KO CRH</t>
  </si>
  <si>
    <t>CRH 457 775887 3 SSCR CONN STL EMT</t>
  </si>
  <si>
    <t>AK10279813</t>
  </si>
  <si>
    <t>ARLI EMT100 121627 INSUL PSH-ON 1 BUSH NMT</t>
  </si>
  <si>
    <t>EMT100</t>
  </si>
  <si>
    <t>AK10083252</t>
  </si>
  <si>
    <t>018997122209</t>
  </si>
  <si>
    <t>ARLI EMT100 121627 INSUL PSHON 1 BUSH NMT</t>
  </si>
  <si>
    <t>CRH TP276 1956713 4OCT BX 1-1/2D STL</t>
  </si>
  <si>
    <t>TP276</t>
  </si>
  <si>
    <t>AK10302053</t>
  </si>
  <si>
    <t>BLS N227-10-32-ZN 211064 SPRING NUT 10-32 ZNC PLTD</t>
  </si>
  <si>
    <t>N227-10-32-ZN</t>
  </si>
  <si>
    <t>AK10253725</t>
  </si>
  <si>
    <t>DOTT TEKPH-812 229853 PHIL HEAD</t>
  </si>
  <si>
    <t>TEKPH-812</t>
  </si>
  <si>
    <t>AK10589440</t>
  </si>
  <si>
    <t>TEKPH812</t>
  </si>
  <si>
    <t>DOTT TEKPH812 229853 PHIL HEAD</t>
  </si>
  <si>
    <t>POWA PS-3064-SQ-EG 3327660 DOUBLE COLUMN POST</t>
  </si>
  <si>
    <t>PS-3064-SQ-EG</t>
  </si>
  <si>
    <t>AK10086197</t>
  </si>
  <si>
    <t>CRH TP294 1994721 54171-1 DP 4 OCT</t>
  </si>
  <si>
    <t>TP294</t>
  </si>
  <si>
    <t>AK10302066</t>
  </si>
  <si>
    <t>DOTT TY164 113695 400FT 16-1/2G TIE WIRE 1 ROL/1 EA</t>
  </si>
  <si>
    <t>TY164</t>
  </si>
  <si>
    <t>AK10589535</t>
  </si>
  <si>
    <t>DOTT TY164 400FT 1612G TIE WIRE 1 ROL1 EA</t>
  </si>
  <si>
    <t>MMM CT6BK40-C 2709290 6IN BLK 40 LB CBL TIE 100/BAG</t>
  </si>
  <si>
    <t>CT6BK40-C</t>
  </si>
  <si>
    <t>AK10005660</t>
  </si>
  <si>
    <t>CT6BK40C</t>
  </si>
  <si>
    <t>051128592847</t>
  </si>
  <si>
    <t>MMM CT6BK40C 2709290 6IN BLK 40 LB CBL TIE 100BAG</t>
  </si>
  <si>
    <t xml:space="preserve">PIC 2-1/2IN-90DEG-EMT-ELBOW 109465 </t>
  </si>
  <si>
    <t>2-1/2IN-90DEG-EMT-ELBOW</t>
  </si>
  <si>
    <t>AK10431822</t>
  </si>
  <si>
    <t xml:space="preserve">ALUM XHHW-SSE-ALUM-250-BRN-22STR-4000R 2644602 </t>
  </si>
  <si>
    <t>ALUM</t>
  </si>
  <si>
    <t>XHHW-SSE-ALUM-250-BRN-22STR-4000R</t>
  </si>
  <si>
    <t>CRH GLL7-DC 2440510 2 1/2 GRND BUSHING 10</t>
  </si>
  <si>
    <t>GLL7-DC</t>
  </si>
  <si>
    <t>AK10296592</t>
  </si>
  <si>
    <t>GLL7DC</t>
  </si>
  <si>
    <t>CRH GLL7DC 2440510 2 12 GRND BUSHING 10</t>
  </si>
  <si>
    <t xml:space="preserve">ALUM XHHW-SSE-ALUM-250-ORG-22STR-4000R 2644603 </t>
  </si>
  <si>
    <t>XHHW-SSE-ALUM-250-ORG-22STR-4000R</t>
  </si>
  <si>
    <t>AK10439954</t>
  </si>
  <si>
    <t xml:space="preserve">ALUM XHHW-SSE-ALUM-250-YEL-22STR-4000R 2644604 </t>
  </si>
  <si>
    <t>XHHW-SSE-ALUM-250-YEL-22STR-4000R</t>
  </si>
  <si>
    <t>AK10439963</t>
  </si>
  <si>
    <t>POWA PS-1100-AS-2-1/2-EG 3347074 GRC CLAMP</t>
  </si>
  <si>
    <t>PS-1100-AS-2-1/2-EG</t>
  </si>
  <si>
    <t>AK10085850</t>
  </si>
  <si>
    <t xml:space="preserve">ALUM XHHW-SSE-ALUM-250-GRY-22STR-4000R 2644605 </t>
  </si>
  <si>
    <t>XHHW-SSE-ALUM-250-GRY-22STR-4000R</t>
  </si>
  <si>
    <t>AK10439952</t>
  </si>
  <si>
    <t>CRH 455 147668 2 SSCR CONN STL EMT</t>
  </si>
  <si>
    <t xml:space="preserve">ALUM XHHW-SSE-ALUM-1-GRN-8STR-2500R 3141419 </t>
  </si>
  <si>
    <t>XHHW-SSE-ALUM-1-GRN-8STR-2500R</t>
  </si>
  <si>
    <t>AK10439901</t>
  </si>
  <si>
    <t>POWA PS-1100-5-EG 3327147 STRUT STRAP</t>
  </si>
  <si>
    <t>PS-1100-5-EG</t>
  </si>
  <si>
    <t>AK10085835</t>
  </si>
  <si>
    <t>THM 6H2B 162975 COND HGR 1N STL W/BOLT</t>
  </si>
  <si>
    <t>6H2B</t>
  </si>
  <si>
    <t>AK10020333</t>
  </si>
  <si>
    <t>POWA PS-1000-AS-1-EG 3347077 EMT CLAMP</t>
  </si>
  <si>
    <t>PS-1000-AS-1-EG</t>
  </si>
  <si>
    <t>AK10085735</t>
  </si>
  <si>
    <t>POWA PS-1300-1-EG 3327090 1IN UNIVERSAL CLAMP</t>
  </si>
  <si>
    <t>PS-1300-1-EG</t>
  </si>
  <si>
    <t>AK10085897</t>
  </si>
  <si>
    <t>CRH 462 147680 1 SSCR CPLG STL EMT</t>
  </si>
  <si>
    <t>CRH C35-CGN 775086 COND BDY 1 C SER5 AL W/ CG</t>
  </si>
  <si>
    <t>C35-CGN</t>
  </si>
  <si>
    <t>AK10285661</t>
  </si>
  <si>
    <t>C35CGN</t>
  </si>
  <si>
    <t>CRH C35CGN 775086 COND BDY 1 C SER5 AL W CG</t>
  </si>
  <si>
    <t>CRH 452 147662 1 SSCR CONN STL EMT</t>
  </si>
  <si>
    <t>AK10279770</t>
  </si>
  <si>
    <t xml:space="preserve">EPVC END-BELL-1IN-PVC 104530 </t>
  </si>
  <si>
    <t>END-BELL-1IN-PVC</t>
  </si>
  <si>
    <t>AK10032033</t>
  </si>
  <si>
    <t>BELL OUTDOOR</t>
  </si>
  <si>
    <t>BELL</t>
  </si>
  <si>
    <t xml:space="preserve">EPVC END-BELL-2-1/2IN-PVC 104534 </t>
  </si>
  <si>
    <t>END-BELL-2-1/2IN-PVC</t>
  </si>
  <si>
    <t>AK10032038</t>
  </si>
  <si>
    <t xml:space="preserve">PIC 2IN-90DEG-GALV-ELBOW 109107 </t>
  </si>
  <si>
    <t>2IN-90DEG-GALV-ELBOW</t>
  </si>
  <si>
    <t>AK10431939</t>
  </si>
  <si>
    <t xml:space="preserve">PIC 1-1/2IN-90DEG-GALV-ELBOW 109105 </t>
  </si>
  <si>
    <t>1-1/2IN-90DEG-GALV-ELBOW</t>
  </si>
  <si>
    <t>AK10431452</t>
  </si>
  <si>
    <t>CRH 713 147747 2 SQZ CONN MALL IRN FLEX</t>
  </si>
  <si>
    <t>AK10281469</t>
  </si>
  <si>
    <t>CRH 18X 776157 3 LCKNT STL</t>
  </si>
  <si>
    <t>18X</t>
  </si>
  <si>
    <t>AK10278896</t>
  </si>
  <si>
    <t>CRH 17X 776159 2-1/2 LCKNT STL</t>
  </si>
  <si>
    <t>17X</t>
  </si>
  <si>
    <t>AK10278867</t>
  </si>
  <si>
    <t>CRH 51 775842 3/4 BUSHD NIP MALL IRN</t>
  </si>
  <si>
    <t>AK10280729</t>
  </si>
  <si>
    <t>PLPO NIA24PK 3275175 24PK BOTTLED WATER 16.9OZ
WATER</t>
  </si>
  <si>
    <t>PLPO</t>
  </si>
  <si>
    <t>NIA24PK</t>
  </si>
  <si>
    <t>DOTT 14H114 113557 1/4X1-1/4 ANCH</t>
  </si>
  <si>
    <t>14H114</t>
  </si>
  <si>
    <t>AK10586286</t>
  </si>
  <si>
    <t>DOTTIE 14H114 1/4X1-1/4 ANCH</t>
  </si>
  <si>
    <t xml:space="preserve">EPVC END-BELL-1-1/4IN-PVC 104531 </t>
  </si>
  <si>
    <t>END-BELL-1-1/4IN-PVC</t>
  </si>
  <si>
    <t>AK10058536</t>
  </si>
  <si>
    <t>CRH 461 147678 3/4 SSCR CPLG STL EMT</t>
  </si>
  <si>
    <t>AK10279832</t>
  </si>
  <si>
    <t>BLS B2002ZN 115715 3/4 EMT CLMP 3/4IN ZNC PLTD</t>
  </si>
  <si>
    <t>B2002ZN</t>
  </si>
  <si>
    <t>AK10245859</t>
  </si>
  <si>
    <t>BLS B2002ZN 34 EMT CLMP 34IN ZNC PLTD</t>
  </si>
  <si>
    <t>MMM 165WH4A 3533174 3/4X60 TEMFLEX VNYL TAPE WHT</t>
  </si>
  <si>
    <t>165WH4A</t>
  </si>
  <si>
    <t>AK10001786</t>
  </si>
  <si>
    <t>CRH 55 147595 2 BUSHD NIP MALL IRN</t>
  </si>
  <si>
    <t>AK10036069</t>
  </si>
  <si>
    <t>MIW 48-32-4511 3081729 SHOWAVE BIT TIP HOLD MAG 6IN</t>
  </si>
  <si>
    <t>48-32-4511</t>
  </si>
  <si>
    <t>AK10609265</t>
  </si>
  <si>
    <t>045242301980</t>
  </si>
  <si>
    <t>MIW 48324511 3081729 SHOWAVE BIT TIP HOLD MAG 6IN</t>
  </si>
  <si>
    <t>DOTT TEKHW-812 113197 HEX HEAD</t>
  </si>
  <si>
    <t>TEKHW-812</t>
  </si>
  <si>
    <t>AK10589416</t>
  </si>
  <si>
    <t>TEKHW812</t>
  </si>
  <si>
    <t>DOTT TEKHW812 113197 HEX HEAD</t>
  </si>
  <si>
    <t>CRH 201 775780 3/4 SNAP-ON CLMP STL EMT</t>
  </si>
  <si>
    <t>AK10279019</t>
  </si>
  <si>
    <t>NEPT WP1250P/3000 2457845 POLY MULETAPE</t>
  </si>
  <si>
    <t>NEPT</t>
  </si>
  <si>
    <t>WP1250P/3000</t>
  </si>
  <si>
    <t>ARLI EMT50 121637 INSUL PSH-ON 1/2 BUSH NMT</t>
  </si>
  <si>
    <t>EMT50</t>
  </si>
  <si>
    <t>AK10083273</t>
  </si>
  <si>
    <t>018997122001</t>
  </si>
  <si>
    <t>ARLI EMT50 121637 INSUL PSHON 12 BUSH NMT</t>
  </si>
  <si>
    <t>CRH TP500 1994285 4SQ CVR STL 3/4RSD 2DEV
CRH</t>
  </si>
  <si>
    <t>CRH TP500 1994285 4SQ CVR STL 34RSD 2DEVCRH</t>
  </si>
  <si>
    <t>HOF F44G48 133978 WRWY N1 4X4X48IN STL</t>
  </si>
  <si>
    <t>F44G48</t>
  </si>
  <si>
    <t>AK10640465</t>
  </si>
  <si>
    <t>HOF F44GCP 134192 CLSR PLT N1 4X4IN STL W/ KO</t>
  </si>
  <si>
    <t>F44GCP</t>
  </si>
  <si>
    <t>AK10640479</t>
  </si>
  <si>
    <t>HOF F44GCP 134192 CLSR PLT N1 4X4IN STL W KO</t>
  </si>
  <si>
    <t xml:space="preserve">EMT 4IN-EMT 167252 </t>
  </si>
  <si>
    <t>4IN-EMT</t>
  </si>
  <si>
    <t>HOF ASE10X10X4NK 133524 NMA1 SC BOX-NO K</t>
  </si>
  <si>
    <t>ASE10X10X4NK</t>
  </si>
  <si>
    <t>AK10636950</t>
  </si>
  <si>
    <t>HOFF ASE10X10X4NK NMA1 SC BOX-NO K</t>
  </si>
  <si>
    <t>ARLI 4010AST 2053338 SNAP2IT 3/8 SNAP-IN CONN D/C</t>
  </si>
  <si>
    <t>4010AST</t>
  </si>
  <si>
    <t>AK10082560</t>
  </si>
  <si>
    <t>018997403551</t>
  </si>
  <si>
    <t>ARLI 4010AST 2053338 38 SNAP2IT SNAPIN CONN DC</t>
  </si>
  <si>
    <t xml:space="preserve">EMT 1-1/4IN-EMT 167233 </t>
  </si>
  <si>
    <t>1-1/4IN-EMT</t>
  </si>
  <si>
    <t>BLS B2004ZN 115720 1-1/4 EMT CLMP 1-1/4IN ZNC PLTD</t>
  </si>
  <si>
    <t>B2004ZN</t>
  </si>
  <si>
    <t>AK10245872</t>
  </si>
  <si>
    <t>BLS B2004ZN 114 EMT CLMP 114IN ZNC PLTD</t>
  </si>
  <si>
    <t>CRH 453 147664 1-1/4 SSCR CONN STL EMT</t>
  </si>
  <si>
    <t>AK10279780</t>
  </si>
  <si>
    <t>CRH 934 775698 1-1/4 INSUL BUSH NMT 105DEG</t>
  </si>
  <si>
    <t>AK10282135</t>
  </si>
  <si>
    <t>CRH 463 147683 1-1/4 SSCR CPLG STL EMT</t>
  </si>
  <si>
    <t>AK10279853</t>
  </si>
  <si>
    <t>CRH 203 775778 1-1/4 SNAP-ON CLMP STL EMT</t>
  </si>
  <si>
    <t>AK10279031</t>
  </si>
  <si>
    <t>DOTT TEKHW-834 113201 HEX HEAD</t>
  </si>
  <si>
    <t>TEKHW-834</t>
  </si>
  <si>
    <t>AK10589420</t>
  </si>
  <si>
    <t>TEKHW834</t>
  </si>
  <si>
    <t>DOTT TEKHW834 113201 HEX HEAD</t>
  </si>
  <si>
    <t>THM BU506 900857 2 INSUL BUSH NMT RGD/IMC 105DEG</t>
  </si>
  <si>
    <t>BU506</t>
  </si>
  <si>
    <t>AK10025795</t>
  </si>
  <si>
    <t>THM 164544  1/2 KO BUSH POLY RGD/IMC BLK</t>
  </si>
  <si>
    <t>AK10016133</t>
  </si>
  <si>
    <t>THM 3211 164549 3/4 KO BUSH POLY RGD/IMC BLK</t>
  </si>
  <si>
    <t>AK10016134</t>
  </si>
  <si>
    <t>ARLI EMT75 121624 INSUL PSH-ON 3/4 BUSH NMT</t>
  </si>
  <si>
    <t>EMT75</t>
  </si>
  <si>
    <t>AK10083274</t>
  </si>
  <si>
    <t>018997122056</t>
  </si>
  <si>
    <t>ARLI EMT75 121624 INSUL PSHON 34 BUSH NMT</t>
  </si>
  <si>
    <t>ARLI LV2 121660 LOW-V BRKT 2G</t>
  </si>
  <si>
    <t>LV2</t>
  </si>
  <si>
    <t>AK10083772</t>
  </si>
  <si>
    <t>CRH TP428 1994609 4SQ EXTN RNG 1-1/2D</t>
  </si>
  <si>
    <t>CRH TP428 1994609 4SQ EXTN RNG 112D</t>
  </si>
  <si>
    <t>DOTT GP1050 997171 GRD PIGTAIL</t>
  </si>
  <si>
    <t>GP1050</t>
  </si>
  <si>
    <t>AK10587542</t>
  </si>
  <si>
    <t xml:space="preserve">PIC 1-1/4IN-90DEG-GALV-ELBOW 109102 </t>
  </si>
  <si>
    <t>1-1/4IN-90DEG-GALV-ELBOW</t>
  </si>
  <si>
    <t>AK10431539</t>
  </si>
  <si>
    <t>CRH 413 775851 COND STRAP 1-1/4IN 1H STL</t>
  </si>
  <si>
    <t>AK10279717</t>
  </si>
  <si>
    <t>IMC 1-1/4IN-INTER-MTL 167150 COND</t>
  </si>
  <si>
    <t>IMC</t>
  </si>
  <si>
    <t>1-1/4IN-INTER-MTL</t>
  </si>
  <si>
    <t>AK10431549</t>
  </si>
  <si>
    <t>CRH CPR4 147841 1-1/4 COMP NO-THD CONN MALL IRN CRH
AFTER HOURS WILL CALL</t>
  </si>
  <si>
    <t>CPR4</t>
  </si>
  <si>
    <t>AK10289531</t>
  </si>
  <si>
    <t>DOTT RMC1412 114132 COMBO MACH SCR</t>
  </si>
  <si>
    <t>RMC1412</t>
  </si>
  <si>
    <t>AK10588783</t>
  </si>
  <si>
    <t>CRH C25 775061 COND BDY 3/4 C SER5 AL</t>
  </si>
  <si>
    <t>C25</t>
  </si>
  <si>
    <t>AK10285648</t>
  </si>
  <si>
    <t>CRH 250 212290 COND BDY CVR 3/4 FM5 ALUM</t>
  </si>
  <si>
    <t>AK10279208</t>
  </si>
  <si>
    <t>CRH C35 774944 COND BDY 1 C SER5 AL</t>
  </si>
  <si>
    <t>C35</t>
  </si>
  <si>
    <t>CRH 350 231735 COND BDY CVR 1 FM5 STL</t>
  </si>
  <si>
    <t>AK10279591</t>
  </si>
  <si>
    <t>CRH 202 775779 1 SNAP-ON CLMP STL EMT</t>
  </si>
  <si>
    <t>CRH 932 775706 3/4 INSUL BUSH NMT 105DEG</t>
  </si>
  <si>
    <t>AK10279025</t>
  </si>
  <si>
    <t>AK10025790</t>
  </si>
  <si>
    <t>CRH GLL8-DC 2440512 3 GRND BUSHING 1005 C</t>
  </si>
  <si>
    <t>GLL8-DC</t>
  </si>
  <si>
    <t>AK10296599</t>
  </si>
  <si>
    <t>GLL8DC</t>
  </si>
  <si>
    <t>CRH GLL8DC 2440512 3 GRND BUSHING 1005 C</t>
  </si>
  <si>
    <t>BLS 129323 BU-2-4 BEAM CLMP 1/8-1/4IN FLNG</t>
  </si>
  <si>
    <t>AK10251652</t>
  </si>
  <si>
    <t>BLS BCH21 129076 CBL HK 1-5/16IN</t>
  </si>
  <si>
    <t>BCH21</t>
  </si>
  <si>
    <t>AK10250286</t>
  </si>
  <si>
    <t>BLS BCH21 129076 CBL HK 1516IN</t>
  </si>
  <si>
    <t>CRH 775706  3/4 INSUL BUSH NMT 105DEG</t>
  </si>
  <si>
    <t>AK10282133</t>
  </si>
  <si>
    <t>CRH TP586 1994392 4-11/16 SQ CVR STL 3/4RSD 2DEV CRH</t>
  </si>
  <si>
    <t>TP586</t>
  </si>
  <si>
    <t>AK10302442</t>
  </si>
  <si>
    <t>CRH TP586 1994392 41116 SQ CVR STL 34RSD 2DEV CRH</t>
  </si>
  <si>
    <t>MMM 35-WHITE-3/4X66FT 115230 CODING TAPE</t>
  </si>
  <si>
    <t>CRH TP403 1956719 4SQ BX 2-1/8D 1/2IN-3/4IN KO CRH</t>
  </si>
  <si>
    <t>CRH TP403 4SQ BX 218D 12IN34IN KO CRH</t>
  </si>
  <si>
    <t>DOTT TEKW8114 209682 8X1-1/4 WAFER SCREW</t>
  </si>
  <si>
    <t>TEKW8114</t>
  </si>
  <si>
    <t>AK10589445</t>
  </si>
  <si>
    <t>DOTTIE TEKW8114 8X1-1/4 WAFER SCREW</t>
  </si>
  <si>
    <t>IDE 30-3392 1074709 12AWG SOL WIRE PGTL</t>
  </si>
  <si>
    <t>30-3392</t>
  </si>
  <si>
    <t>AK10519968</t>
  </si>
  <si>
    <t>IDE 303392 1074709 12AWG SOL WIRE PGTL</t>
  </si>
  <si>
    <t>WAGO 221-615 3480657 WAGO SPLC CNNCTR-5 PORT 15/CT</t>
  </si>
  <si>
    <t>WAGO</t>
  </si>
  <si>
    <t>221-615</t>
  </si>
  <si>
    <t>AK10985725</t>
  </si>
  <si>
    <t>WAGO CORPORATION</t>
  </si>
  <si>
    <t>GRE 66PT-5/8 128632 NAIL EATER BIT</t>
  </si>
  <si>
    <t>66PT-5/8</t>
  </si>
  <si>
    <t>AK10975430</t>
  </si>
  <si>
    <t>66PT58</t>
  </si>
  <si>
    <t>GRE 66PT58 128632 NAIL EATER BIT</t>
  </si>
  <si>
    <t>POWA PS-500-EH-10-PG 2355218 1-5/8 X 13/16 14GA 10FT</t>
  </si>
  <si>
    <t>PS-500-EH-10-PG</t>
  </si>
  <si>
    <t>AK10086280</t>
  </si>
  <si>
    <t>ILSCO 13/16 250MCM COP SLDRING LUG</t>
  </si>
  <si>
    <t>ALTB SCH40 3615815 6IN 12INL PVC REPR SLV/SLIP CPL</t>
  </si>
  <si>
    <t>ALTB</t>
  </si>
  <si>
    <t>SCH40</t>
  </si>
  <si>
    <t xml:space="preserve">EPVC CPLG-4IN-5DEG-SCH40-PVC 3545347 </t>
  </si>
  <si>
    <t>CPLG-4IN-5DEG-SCH40-PVC</t>
  </si>
  <si>
    <t>FAST 145481 FW 1/2 SAE ZP</t>
  </si>
  <si>
    <t>FAST</t>
  </si>
  <si>
    <t>MSTF 3620938 1/2-13 HEX NUT ZP 100/PK</t>
  </si>
  <si>
    <t>MSTF</t>
  </si>
  <si>
    <t>FAST 3620935 1/2-13 X 1-1/4 ROD COUPLI 50/PK</t>
  </si>
  <si>
    <t>FAST 3620964 3/8-16 X 1 1/8 ROD COUPLI 100/BX</t>
  </si>
  <si>
    <t>OZE 4150S 2585275 1-1/2 SSCR CONN STL EMT</t>
  </si>
  <si>
    <t>OZE</t>
  </si>
  <si>
    <t>4150S</t>
  </si>
  <si>
    <t>AK10076673</t>
  </si>
  <si>
    <t>POWA PS-619-1/2-EG 2355220 SQ WASHER 9/16IN</t>
  </si>
  <si>
    <t>PS-619-1/2-EG</t>
  </si>
  <si>
    <t>AK10086413</t>
  </si>
  <si>
    <t>PS61912EG</t>
  </si>
  <si>
    <t>POWA 2355220 PS61912EG SQ WASHER 916IN</t>
  </si>
  <si>
    <t>FAST 3620868 1/2 MED SPLIT LOCKWASHER 100/PK</t>
  </si>
  <si>
    <t>FAST 3620857 3/8 MED SPLIT LOCKWASHER 100/PK</t>
  </si>
  <si>
    <t>GARI KOS50 3612489 1/2 BOLT-ON KO SEAL 50/BX</t>
  </si>
  <si>
    <t>GARI</t>
  </si>
  <si>
    <t>KOS50</t>
  </si>
  <si>
    <t>FAST 3620863 3/8-16 HEX NUT ZP 100/PK</t>
  </si>
  <si>
    <t>GARI KOS75 3612491 3/4 BOLT-ON KO SEAL 50/BX</t>
  </si>
  <si>
    <t>KOS75</t>
  </si>
  <si>
    <t>POWA PS-619-3/8-EG 2400827 SQ WASHER 3/8IN</t>
  </si>
  <si>
    <t>PS-619-3/8-EG</t>
  </si>
  <si>
    <t>AK10086423</t>
  </si>
  <si>
    <t>PS61938EG</t>
  </si>
  <si>
    <t>POWA PS61938EG 2400827 SQ WASHER 38IN</t>
  </si>
  <si>
    <t>FAST 3622802 3/8 X 1-1/4 FENDER WASHE</t>
  </si>
  <si>
    <t>TOPA 3612562 2112 3/8 SPR NUT PLTD</t>
  </si>
  <si>
    <t>TOPA</t>
  </si>
  <si>
    <t>FAST 3620880 1/4-20 X 7/8 ROD COUPLIN 100/PK</t>
  </si>
  <si>
    <t>MADQ 3660563 SW-5/8 1-5/8 SQ STRT WSHR 5/8 BLT ZN PL</t>
  </si>
  <si>
    <t>MADQ</t>
  </si>
  <si>
    <t>BLS N255ZN 211069 SPRING NUT 5/8-11 ZNC PLTD</t>
  </si>
  <si>
    <t>N255ZN</t>
  </si>
  <si>
    <t>AK10253752</t>
  </si>
  <si>
    <t>BLS N255ZN 211069 SPRING NUT 5811 ZNC PLTD</t>
  </si>
  <si>
    <t>MSTF 3660846 5/8-11 HEX NUT</t>
  </si>
  <si>
    <t xml:space="preserve">THHN SS-THHN-6-GRN-19STR-CU-500R 2251667 </t>
  </si>
  <si>
    <t>SS-THHN-6-GRN-19STR-CU-500R</t>
  </si>
  <si>
    <t>AK10437675</t>
  </si>
  <si>
    <t>MSTF 3660843 5/8 FLAT WSHR</t>
  </si>
  <si>
    <t>MADQ SN50TZ 3660561 1/2 SPLIT NUT</t>
  </si>
  <si>
    <t>SN50TZ</t>
  </si>
  <si>
    <t>TPZ SN50TZ 1/2 SPLIT NUT</t>
  </si>
  <si>
    <t>MSTF 3660845 5/8 SPLIT LOCK WSHR</t>
  </si>
  <si>
    <t>POWA PS-2651-T1-EG 2355216 CHANNEL TO BEAM CLAMP</t>
  </si>
  <si>
    <t>PS-2651-T1-EG</t>
  </si>
  <si>
    <t>AK10086140</t>
  </si>
  <si>
    <t>PS2651T1EG</t>
  </si>
  <si>
    <t>POWA PS2651T1EG 2355216 CHANNEL TO BEAM CLAMP</t>
  </si>
  <si>
    <t>POWA PS-TG-1/2-US-EG 3327083 TOP GRIP NUT</t>
  </si>
  <si>
    <t>PS-TG-1/2-US-EG</t>
  </si>
  <si>
    <t>POWA PS-200-EH-10-PG 3327076 12GA 1-5/8 X 1-5/8 CHNL</t>
  </si>
  <si>
    <t>PS-200-EH-10-PG</t>
  </si>
  <si>
    <t>AK10090555</t>
  </si>
  <si>
    <t>GARI SW-1/2 3612536 1-5/8 SQ STRUT WSHR</t>
  </si>
  <si>
    <t>SW-1/2</t>
  </si>
  <si>
    <t>GARI SW-1/2 3612536 1-5/8 SQ STRUT WSHR
8040945229</t>
  </si>
  <si>
    <t>POWA PS-TG-3/8-US-EG 2447674 TOP GRIP NUT</t>
  </si>
  <si>
    <t>PS-TG-3/8-US-EG</t>
  </si>
  <si>
    <t>AK10086706</t>
  </si>
  <si>
    <t>POWA PS-607-EG 2086287 4 CRNR FTG 4H BRACKET 90 DEG</t>
  </si>
  <si>
    <t>PS-607-EG</t>
  </si>
  <si>
    <t>AK10086384</t>
  </si>
  <si>
    <t>PS607EG</t>
  </si>
  <si>
    <t>POWA PS607EG 2086287 4 CRNR FTG 4H BRACKET 90 DEG</t>
  </si>
  <si>
    <t>POWA PS-604-EG 3329517 FITTING 90DEG 2HOLE 9/16</t>
  </si>
  <si>
    <t>PS-604-EG</t>
  </si>
  <si>
    <t>AK10086374</t>
  </si>
  <si>
    <t>MADQ SFBC60 3648637 STRUT TO BEAM CLMP/BOLT</t>
  </si>
  <si>
    <t>SFBC60</t>
  </si>
  <si>
    <t>GRVN SFBC60 STRUT TO BEAM CLMP/BOLT</t>
  </si>
  <si>
    <t>MADQ SFBC61 3648638 STRUT TO BEAM CLMP/BOLT</t>
  </si>
  <si>
    <t>SFBC61</t>
  </si>
  <si>
    <t>GRVN SFBC61 STRUT TO BEAM CLMP/BOLT</t>
  </si>
  <si>
    <t>BRFI 953 1053605 BEAM CLMP 2IN MALL IRN</t>
  </si>
  <si>
    <t>AK10623968</t>
  </si>
  <si>
    <t>BRFI 954 1053603 BEAM CLMP 2-1/2IN MALL IRN</t>
  </si>
  <si>
    <t>AK10623970</t>
  </si>
  <si>
    <t>FAST 2573859 HCS 1/2-13X3/4 GR5 ZP</t>
  </si>
  <si>
    <t>FAST HCS 2406109 1/2-13X1 GR5 ZP</t>
  </si>
  <si>
    <t>HCS</t>
  </si>
  <si>
    <t>FAST 3611841 1/2-13 X 1-1/2 HEX HEAD BOLT 50/BX</t>
  </si>
  <si>
    <t>FAST 2576200 HCS 1/2-13X2 GR5 ZP</t>
  </si>
  <si>
    <t>MSTF 3620938 - 1/2-13 HEX NUT ZP 100/PK</t>
  </si>
  <si>
    <t>POWA PS-1300-AS-3/4-EG 2355212 CHNL STRAP 3/4 STL</t>
  </si>
  <si>
    <t>PS-1300-AS-3/4-EG</t>
  </si>
  <si>
    <t>AK10085909</t>
  </si>
  <si>
    <t>POWA PS-1300-AS-1-EG 2355210 CHNL STRAP 1IN EMT STL</t>
  </si>
  <si>
    <t>PS-1300-AS-1-EG</t>
  </si>
  <si>
    <t>AK10085907</t>
  </si>
  <si>
    <t>POWA PS-1300-AS-1-1/2-EG 2355208 CHNL STRAP 1-1/2 STL</t>
  </si>
  <si>
    <t>PS-1300-AS-1-1/2-EG</t>
  </si>
  <si>
    <t>AK10085904</t>
  </si>
  <si>
    <t>POWA PS-1300-AS-2-EG 2355211 CHNL STRAP 2IN EMT STL</t>
  </si>
  <si>
    <t>PS-1300-AS-2-EG</t>
  </si>
  <si>
    <t>AK10085908</t>
  </si>
  <si>
    <t>ERIN WP12503000 3585421 1/2X3000 PULL TAPE</t>
  </si>
  <si>
    <t>ERIN</t>
  </si>
  <si>
    <t>WP12503000</t>
  </si>
  <si>
    <t>MSTF 3660848 - 5/8-11 X 1 HHMB</t>
  </si>
  <si>
    <t>MSTF 3660849 - 5/8-11 X 1-1/2 HHMB</t>
  </si>
  <si>
    <t>MSTF 3660850 - 5/8-11 X 2 HHMB</t>
  </si>
  <si>
    <t>MSTF 3660846 - 5/8-11 HEX NUT</t>
  </si>
  <si>
    <t>MSTF 3660843 - 5/8 FLAT WSHR</t>
  </si>
  <si>
    <t>MSTF 3660845 - 5/8 SPLIT LOCK WSHR</t>
  </si>
  <si>
    <t>MSTF 3660847 5/8-11 ROD CLPG</t>
  </si>
  <si>
    <t>MADQ 3000062EGTZ 3660554 5/8 BEAM CLAMP</t>
  </si>
  <si>
    <t>3000062EGTZ</t>
  </si>
  <si>
    <t>TPZ 3000062EGTZ 5/8 BEAM CLAMP</t>
  </si>
  <si>
    <t xml:space="preserve">EPVC CPLG-1IN-PVC 104456 </t>
  </si>
  <si>
    <t>CPLG-1IN-PVC</t>
  </si>
  <si>
    <t>AK10031655</t>
  </si>
  <si>
    <t>FAST 3620873 1/4 X 1 FENDER WASHER ZP 100/PK</t>
  </si>
  <si>
    <t>POWA PS-1100-AS-3/4-EG 3347086 GRC CLAMP</t>
  </si>
  <si>
    <t>PS-1100-AS-3/4-EG</t>
  </si>
  <si>
    <t>AK10085854</t>
  </si>
  <si>
    <t>FAST 27021 3613555 PHILIPS INSRT BIT 1/4IN HEX SHNK</t>
  </si>
  <si>
    <t>PHILIPS</t>
  </si>
  <si>
    <t>FAST 3622799 1/4 X 3 MAGNETIC BIT HOLD</t>
  </si>
  <si>
    <t>WHTL ZI12-158 3657253 FS PG10 1-5/8 LNG SLT WHEATLAND</t>
  </si>
  <si>
    <t>WHTL</t>
  </si>
  <si>
    <t>ZI12-158</t>
  </si>
  <si>
    <t xml:space="preserve">EPVC SCH40-4IN-20FT-PVC-COND 2243879 </t>
  </si>
  <si>
    <t>SCH40-4IN-20FT-PVC-COND</t>
  </si>
  <si>
    <t>AK10016820</t>
  </si>
  <si>
    <t xml:space="preserve">EPVC FEM-ADPT-4IN-PVC 105041 </t>
  </si>
  <si>
    <t>FEM-ADPT-4IN-PVC</t>
  </si>
  <si>
    <t>AK10432947</t>
  </si>
  <si>
    <t>FAST 2576200 - HCS 1/2-13X2 GR5 ZP</t>
  </si>
  <si>
    <t>APPT PLG-75R 1031197 3/4 RCSD PLG STL RGD/IMC APPT</t>
  </si>
  <si>
    <t>PLG-75R</t>
  </si>
  <si>
    <t>AK10078725</t>
  </si>
  <si>
    <t>APPT RB100-75 1037487 1X3/4 RED BUSH STL RGD/IMC APPT</t>
  </si>
  <si>
    <t>RB100-75</t>
  </si>
  <si>
    <t>AK10078735</t>
  </si>
  <si>
    <t>RB10075</t>
  </si>
  <si>
    <t>APPT RB10075 1X34 RED BUSH STL RGDIMC APPT</t>
  </si>
  <si>
    <t>AK10432182</t>
  </si>
  <si>
    <t>AK10431731</t>
  </si>
  <si>
    <t>MSTF 3660848 5/8-11 X 1 HHMB</t>
  </si>
  <si>
    <t>MSTF 3660849 5/8-11 X 1-1/2 HHMB</t>
  </si>
  <si>
    <t>THM 4250 164611 1/2 SHRT ELB MALL IRN RGD/IMC 90DEG</t>
  </si>
  <si>
    <t>AK10016694</t>
  </si>
  <si>
    <t>ALTB 6IN 3615264 GALV STL COND BLU CAP</t>
  </si>
  <si>
    <t>6IN</t>
  </si>
  <si>
    <t>GARI G1947 3612450 4SQ CVR F/GFI RCPT 1GGFI</t>
  </si>
  <si>
    <t>G1947</t>
  </si>
  <si>
    <t>IDE B-8-50-0-C 1524218 CBL TIE 8IN 50LB UV</t>
  </si>
  <si>
    <t>B-8-50-0-C</t>
  </si>
  <si>
    <t>AK10522601</t>
  </si>
  <si>
    <t>B8500C</t>
  </si>
  <si>
    <t>IDE B8500C 1524218 CBL TIE 8IN 50LB UV</t>
  </si>
  <si>
    <t>WHTL 3643020 1/2IN THREADED ROD ZINC 10FT</t>
  </si>
  <si>
    <t>THREADED ROD</t>
  </si>
  <si>
    <t>MADQ 3629169 2113 1/2-13 SPRING Packing Slip No: 8040952553</t>
  </si>
  <si>
    <t>GARI 3612536 SW-1/2 1-5/8 SQ STRUT WSHR
Packing Slip No: 8040952553</t>
  </si>
  <si>
    <t>FAST 145481 FW 1/2 SAE ZP Packing Slip No: 8040952553</t>
  </si>
  <si>
    <t>FAST 3620868 1/2 MED SPLIT LOCKWASHER 100/PK
Packing Slip No: 8040952553</t>
  </si>
  <si>
    <t>FAST 3620925 3/8 FLAT CUT WASHER ZP 100/PK</t>
  </si>
  <si>
    <t xml:space="preserve"> WHTL 3643019 3/8IN THREADED ROD ZINC 10FT</t>
  </si>
  <si>
    <t>LITH CSSL96ALO4MVOLTSWW380CRI 3502009 LED 8FT STRP</t>
  </si>
  <si>
    <t>CSSL96ALO4MVOLTSWW380CRI</t>
  </si>
  <si>
    <t>AK10061252</t>
  </si>
  <si>
    <t>FLX 14/3-SOL-LOCK-NUT 132015 FIXTURE WHIP C</t>
  </si>
  <si>
    <t>14/3-SOL-LOCK-NUT</t>
  </si>
  <si>
    <t>AK10433513</t>
  </si>
  <si>
    <t>LEV CR20-W 122485 DPLXRCPT 5-20R 20A WHT 125V 2P3W</t>
  </si>
  <si>
    <t>CR20-W</t>
  </si>
  <si>
    <t>AK10578982</t>
  </si>
  <si>
    <t>CR20W</t>
  </si>
  <si>
    <t>078477815458</t>
  </si>
  <si>
    <t>LEV CR20W 122485 DPLXRCPT 520R 20A WHT 125V 2P3W</t>
  </si>
  <si>
    <t>LEV 80409-NW 628505 WLPLT DECO 2G STD WHT NYL SCR</t>
  </si>
  <si>
    <t>80409-NW</t>
  </si>
  <si>
    <t>AK10576889</t>
  </si>
  <si>
    <t>80409NW</t>
  </si>
  <si>
    <t>078477488508</t>
  </si>
  <si>
    <t>LEV 80409NW 628505 WLPLT DECO 2G STD WHT NYL SCR</t>
  </si>
  <si>
    <t>LEV 80716-W 628552 WLPLT 2G DPLX STD WHT NYL SCR</t>
  </si>
  <si>
    <t>80716-W</t>
  </si>
  <si>
    <t>AK10577140</t>
  </si>
  <si>
    <t>80716W</t>
  </si>
  <si>
    <t>078477494042</t>
  </si>
  <si>
    <t>LEV 80716W 628552 WLPLT 2G DPLX STD WHT NYL SCR</t>
  </si>
  <si>
    <t>CRH TP404 793014 4SQ BX 1-1/2D 1/2IN-3/4IN KO CRH</t>
  </si>
  <si>
    <t>CRH TP404 793014 4SQ BX 112D 12IN34IN KO CRH</t>
  </si>
  <si>
    <t>ARLI BE1 121631 BX EXTN 1G 1-1/2IN PLST WHT</t>
  </si>
  <si>
    <t>BE1</t>
  </si>
  <si>
    <t>AK10083002</t>
  </si>
  <si>
    <t>CRH TP252 1994749 SW BX 3-1/2D STL EARS
CRH</t>
  </si>
  <si>
    <t>TP252</t>
  </si>
  <si>
    <t>AK10302033</t>
  </si>
  <si>
    <t>CRH TP252 1994749 SW BX 312D STL EARS</t>
  </si>
  <si>
    <t>THM 3210 164544 1/2 KO BUSH POLY RGD/IMC BLK</t>
  </si>
  <si>
    <t xml:space="preserve"> 9L-8027 *GASKET N</t>
  </si>
  <si>
    <t xml:space="preserve"> 165-3928 BOLT-HEX HEA S</t>
  </si>
  <si>
    <t xml:space="preserve"> 4N-0196 LOCK N</t>
  </si>
  <si>
    <t xml:space="preserve"> 1W-4658 CLAMP N</t>
  </si>
  <si>
    <t xml:space="preserve"> 2F-5152 CLAMP N</t>
  </si>
  <si>
    <t xml:space="preserve"> 1N-4750 TUBE N</t>
  </si>
  <si>
    <t xml:space="preserve"> 1N-4749 TUBE N</t>
  </si>
  <si>
    <t xml:space="preserve"> AB207502262D2R PLEASE SHIP VIA O/T 3/20/25 AM. CALL MIKE COLOMBO POWERFLEX 750 115V AC IO OPTION MODULE</t>
  </si>
  <si>
    <t xml:space="preserve"> AB800HR6A PLEASE SHIP
O/T 3/19/25 AM. CALL MIKE COLOMBO 30MM MOMENTARY PUSH BUTTON 800H PB</t>
  </si>
  <si>
    <t xml:space="preserve"> COLE4/0WELDCABLE 4/0 600V EPR WELD ROHS BLK EQUAL TO 01771.41.01 (IF 1000') *** HAND COIL</t>
  </si>
  <si>
    <t>02989228717</t>
  </si>
  <si>
    <t>01771.41.01</t>
  </si>
  <si>
    <t>CAROLINA PRODUCTS</t>
  </si>
  <si>
    <t>079407717712</t>
  </si>
  <si>
    <t>CRL 01771.41.01 4/0 WELD BLK 1000FT</t>
  </si>
  <si>
    <t xml:space="preserve"> AB1497BBASX3N CONTROL CIRCUIT TRANSFORMER</t>
  </si>
  <si>
    <t xml:space="preserve"> BUSSFNQR2 CLASS CC TIME DELAY</t>
  </si>
  <si>
    <t>05171214706</t>
  </si>
  <si>
    <t xml:space="preserve"> BUSSFNQR1 CLASS CC TIME DELAY</t>
  </si>
  <si>
    <t>05171214703</t>
  </si>
  <si>
    <t>TE Connectivity Deutsch ICT Connectors 1734-1041-ND DT WEDGELOCK</t>
  </si>
  <si>
    <t>TE Connectivity Deutsch ICT Connectors</t>
  </si>
  <si>
    <t>TE CONNECTIVITY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</si>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</sst>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1" fontId="0" fillId="0" borderId="0" xfId="0" quotePrefix="1" applyNumberFormat="1"/>
    <xf numFmtId="2" fontId="16" fillId="0" borderId="0" xfId="0" applyNumberFormat="1" applyFont="1"/>
    <xf numFmtId="2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E25C-F373-49FD-81D3-8E8CFC3592D0}">
  <dimension ref="A1:AB966"/>
  <sheetViews>
    <sheetView tabSelected="1" topLeftCell="S1" workbookViewId="0">
      <pane ySplit="1" topLeftCell="A2" activePane="bottomLeft" state="frozen"/>
      <selection pane="bottomLeft" activeCell="AB10" sqref="AB10"/>
    </sheetView>
  </sheetViews>
  <sheetFormatPr defaultRowHeight="14.4" x14ac:dyDescent="0.3"/>
  <cols>
    <col min="1" max="1" width="9.109375" customWidth="1"/>
    <col min="2" max="2" width="23.21875" customWidth="1"/>
    <col min="3" max="3" width="14.6640625" customWidth="1"/>
    <col min="4" max="4" width="15.6640625" customWidth="1"/>
    <col min="5" max="5" width="11.88671875" customWidth="1"/>
    <col min="6" max="6" width="12" bestFit="1" customWidth="1"/>
    <col min="7" max="7" width="7" bestFit="1" customWidth="1"/>
    <col min="8" max="8" width="10.109375" customWidth="1"/>
    <col min="9" max="9" width="15.6640625" customWidth="1"/>
    <col min="10" max="10" width="13.109375" style="5" bestFit="1" customWidth="1"/>
    <col min="11" max="11" width="9" bestFit="1" customWidth="1"/>
    <col min="12" max="12" width="11.109375" bestFit="1" customWidth="1"/>
    <col min="13" max="13" width="9.33203125" customWidth="1"/>
    <col min="14" max="14" width="28.44140625" customWidth="1"/>
    <col min="15" max="15" width="18.5546875" customWidth="1"/>
    <col min="16" max="16" width="14.44140625" customWidth="1"/>
    <col min="17" max="17" width="16.6640625" customWidth="1"/>
    <col min="18" max="18" width="8.109375" style="8" customWidth="1"/>
    <col min="19" max="21" width="8.88671875" style="8"/>
    <col min="22" max="22" width="18.109375" customWidth="1"/>
    <col min="23" max="23" width="16.88671875" style="8" customWidth="1"/>
    <col min="24" max="24" width="12.109375" customWidth="1"/>
    <col min="25" max="25" width="14" style="8" customWidth="1"/>
    <col min="26" max="26" width="10.6640625" customWidth="1"/>
    <col min="27" max="27" width="8.88671875" style="8"/>
  </cols>
  <sheetData>
    <row r="1" spans="1:2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3" t="s">
        <v>21</v>
      </c>
      <c r="W1" s="7" t="s">
        <v>22</v>
      </c>
      <c r="X1" s="3" t="s">
        <v>23</v>
      </c>
      <c r="Y1" s="7" t="s">
        <v>24</v>
      </c>
      <c r="Z1" t="s">
        <v>23</v>
      </c>
      <c r="AA1" s="8" t="s">
        <v>24</v>
      </c>
      <c r="AB1" s="3" t="s">
        <v>2354</v>
      </c>
    </row>
    <row r="2" spans="1:28" x14ac:dyDescent="0.3">
      <c r="A2">
        <v>897000</v>
      </c>
      <c r="B2" t="s">
        <v>25</v>
      </c>
      <c r="C2" t="s">
        <v>26</v>
      </c>
      <c r="D2" t="s">
        <v>27</v>
      </c>
      <c r="X2">
        <v>26121517</v>
      </c>
      <c r="Y2" s="9">
        <v>68.675502222222207</v>
      </c>
      <c r="Z2">
        <v>26121517</v>
      </c>
      <c r="AA2" s="9">
        <v>68.675502222222207</v>
      </c>
      <c r="AB2" t="b">
        <f>(AA2-Y2)&lt;-1</f>
        <v>0</v>
      </c>
    </row>
    <row r="3" spans="1:28" x14ac:dyDescent="0.3">
      <c r="A3">
        <v>897001</v>
      </c>
      <c r="B3" t="s">
        <v>28</v>
      </c>
      <c r="C3" t="s">
        <v>26</v>
      </c>
      <c r="D3" t="s">
        <v>29</v>
      </c>
      <c r="X3">
        <v>26121500</v>
      </c>
      <c r="Y3" s="8">
        <v>78.766630000000006</v>
      </c>
      <c r="Z3">
        <v>26121500</v>
      </c>
      <c r="AA3" s="8">
        <v>78.766630000000006</v>
      </c>
      <c r="AB3" t="b">
        <f t="shared" ref="AB3:AB66" si="0">(AA3-Y3)&lt;-1</f>
        <v>0</v>
      </c>
    </row>
    <row r="4" spans="1:28" x14ac:dyDescent="0.3">
      <c r="A4">
        <v>897002</v>
      </c>
      <c r="B4" t="s">
        <v>30</v>
      </c>
      <c r="C4" t="s">
        <v>26</v>
      </c>
      <c r="D4" t="s">
        <v>31</v>
      </c>
      <c r="X4">
        <v>26121500</v>
      </c>
      <c r="Y4" s="8">
        <v>59.056942499999998</v>
      </c>
      <c r="Z4">
        <v>26121500</v>
      </c>
      <c r="AA4" s="8">
        <v>59.056942499999998</v>
      </c>
      <c r="AB4" t="b">
        <f t="shared" si="0"/>
        <v>0</v>
      </c>
    </row>
    <row r="5" spans="1:28" x14ac:dyDescent="0.3">
      <c r="A5">
        <v>897003</v>
      </c>
      <c r="B5" t="s">
        <v>32</v>
      </c>
      <c r="C5" t="s">
        <v>26</v>
      </c>
      <c r="D5" t="s">
        <v>33</v>
      </c>
      <c r="X5">
        <v>26121500</v>
      </c>
      <c r="Y5" s="8">
        <v>58.325770499999997</v>
      </c>
      <c r="Z5">
        <v>26121500</v>
      </c>
      <c r="AA5" s="8">
        <v>58.325770499999997</v>
      </c>
      <c r="AB5" t="b">
        <f t="shared" si="0"/>
        <v>0</v>
      </c>
    </row>
    <row r="6" spans="1:28" x14ac:dyDescent="0.3">
      <c r="A6">
        <v>897004</v>
      </c>
      <c r="B6" t="s">
        <v>34</v>
      </c>
      <c r="C6" t="s">
        <v>26</v>
      </c>
      <c r="D6" t="s">
        <v>35</v>
      </c>
      <c r="X6">
        <v>26121614</v>
      </c>
      <c r="Y6" s="9">
        <v>69.886959999999902</v>
      </c>
      <c r="Z6">
        <v>26121614</v>
      </c>
      <c r="AA6" s="9">
        <v>69.886959999999902</v>
      </c>
      <c r="AB6" t="b">
        <f t="shared" si="0"/>
        <v>0</v>
      </c>
    </row>
    <row r="7" spans="1:28" x14ac:dyDescent="0.3">
      <c r="A7">
        <v>897005</v>
      </c>
      <c r="B7" t="s">
        <v>36</v>
      </c>
      <c r="C7" t="s">
        <v>26</v>
      </c>
      <c r="D7" t="s">
        <v>37</v>
      </c>
      <c r="O7" t="s">
        <v>38</v>
      </c>
      <c r="P7" t="s">
        <v>39</v>
      </c>
      <c r="Q7" t="s">
        <v>40</v>
      </c>
      <c r="T7" s="8">
        <v>60</v>
      </c>
      <c r="X7">
        <v>26121614</v>
      </c>
      <c r="Y7" s="8">
        <v>69.485768888888899</v>
      </c>
      <c r="Z7">
        <v>26121614</v>
      </c>
      <c r="AA7" s="8">
        <v>69.485768888888899</v>
      </c>
      <c r="AB7" t="b">
        <f t="shared" si="0"/>
        <v>0</v>
      </c>
    </row>
    <row r="8" spans="1:28" x14ac:dyDescent="0.3">
      <c r="A8">
        <v>897006</v>
      </c>
      <c r="B8" t="s">
        <v>41</v>
      </c>
      <c r="C8" t="s">
        <v>42</v>
      </c>
      <c r="D8" t="s">
        <v>43</v>
      </c>
      <c r="E8" t="s">
        <v>44</v>
      </c>
      <c r="O8" t="s">
        <v>45</v>
      </c>
      <c r="P8" t="s">
        <v>46</v>
      </c>
      <c r="Q8" t="s">
        <v>40</v>
      </c>
      <c r="T8" s="8">
        <v>95</v>
      </c>
      <c r="X8">
        <v>39131708</v>
      </c>
      <c r="Y8" s="8">
        <v>62.790992000000003</v>
      </c>
      <c r="Z8">
        <v>39131708</v>
      </c>
      <c r="AA8" s="8">
        <v>62.790992000000003</v>
      </c>
      <c r="AB8" t="b">
        <f t="shared" si="0"/>
        <v>0</v>
      </c>
    </row>
    <row r="9" spans="1:28" x14ac:dyDescent="0.3">
      <c r="A9">
        <v>897007</v>
      </c>
      <c r="B9" t="s">
        <v>47</v>
      </c>
      <c r="C9" t="s">
        <v>48</v>
      </c>
      <c r="D9" t="s">
        <v>49</v>
      </c>
      <c r="E9" t="s">
        <v>50</v>
      </c>
      <c r="O9" t="s">
        <v>45</v>
      </c>
      <c r="P9" t="s">
        <v>46</v>
      </c>
      <c r="Q9" t="s">
        <v>51</v>
      </c>
      <c r="T9" s="8">
        <v>50</v>
      </c>
      <c r="X9">
        <v>39121702</v>
      </c>
      <c r="Y9" s="9">
        <v>84.350989999999996</v>
      </c>
      <c r="Z9">
        <v>39121702</v>
      </c>
      <c r="AA9" s="9">
        <v>84.350989999999996</v>
      </c>
      <c r="AB9" t="b">
        <f t="shared" si="0"/>
        <v>0</v>
      </c>
    </row>
    <row r="10" spans="1:28" x14ac:dyDescent="0.3">
      <c r="A10">
        <v>897008</v>
      </c>
      <c r="B10" t="s">
        <v>52</v>
      </c>
      <c r="C10" t="s">
        <v>48</v>
      </c>
      <c r="D10" t="s">
        <v>53</v>
      </c>
      <c r="E10" t="s">
        <v>54</v>
      </c>
      <c r="O10" t="s">
        <v>48</v>
      </c>
      <c r="P10" t="s">
        <v>48</v>
      </c>
      <c r="Q10" t="s">
        <v>40</v>
      </c>
      <c r="T10" s="8">
        <v>90</v>
      </c>
      <c r="X10">
        <v>39121700</v>
      </c>
      <c r="Y10" s="8">
        <v>84.440539999999999</v>
      </c>
      <c r="Z10">
        <v>39121700</v>
      </c>
      <c r="AA10" s="8">
        <v>84.440539999999999</v>
      </c>
      <c r="AB10" t="b">
        <f t="shared" si="0"/>
        <v>0</v>
      </c>
    </row>
    <row r="11" spans="1:28" x14ac:dyDescent="0.3">
      <c r="A11">
        <v>897009</v>
      </c>
      <c r="B11" t="s">
        <v>55</v>
      </c>
      <c r="C11" t="s">
        <v>42</v>
      </c>
      <c r="D11" t="s">
        <v>56</v>
      </c>
      <c r="E11" t="s">
        <v>57</v>
      </c>
      <c r="O11" t="s">
        <v>45</v>
      </c>
      <c r="P11" t="s">
        <v>46</v>
      </c>
      <c r="Q11" t="s">
        <v>40</v>
      </c>
      <c r="T11" s="8">
        <v>95</v>
      </c>
      <c r="X11">
        <v>39121400</v>
      </c>
      <c r="Y11" s="9">
        <v>52.901879999999998</v>
      </c>
      <c r="Z11">
        <v>39121400</v>
      </c>
      <c r="AA11" s="9">
        <v>52.901879999999998</v>
      </c>
      <c r="AB11" t="b">
        <f t="shared" si="0"/>
        <v>0</v>
      </c>
    </row>
    <row r="12" spans="1:28" x14ac:dyDescent="0.3">
      <c r="A12">
        <v>897010</v>
      </c>
      <c r="B12" t="s">
        <v>58</v>
      </c>
      <c r="C12" t="s">
        <v>59</v>
      </c>
      <c r="D12" t="s">
        <v>60</v>
      </c>
      <c r="E12" t="s">
        <v>61</v>
      </c>
      <c r="G12">
        <v>220815</v>
      </c>
      <c r="H12" t="s">
        <v>60</v>
      </c>
      <c r="I12" t="s">
        <v>62</v>
      </c>
      <c r="J12" s="5">
        <v>662364039159</v>
      </c>
      <c r="K12">
        <v>39131707</v>
      </c>
      <c r="M12">
        <v>117455</v>
      </c>
      <c r="N12" t="s">
        <v>63</v>
      </c>
      <c r="O12" t="s">
        <v>62</v>
      </c>
      <c r="P12" t="s">
        <v>59</v>
      </c>
      <c r="Q12" t="s">
        <v>40</v>
      </c>
      <c r="R12" s="9">
        <v>0.85251538630864399</v>
      </c>
      <c r="S12" s="8">
        <v>100</v>
      </c>
      <c r="T12" s="8">
        <v>100</v>
      </c>
      <c r="U12" s="8">
        <v>100</v>
      </c>
      <c r="V12" t="s">
        <v>62</v>
      </c>
      <c r="W12" s="9">
        <v>99.999916999999996</v>
      </c>
      <c r="X12">
        <v>39131707</v>
      </c>
      <c r="Y12" s="9">
        <v>99.999916999999996</v>
      </c>
      <c r="Z12">
        <v>39131707</v>
      </c>
      <c r="AA12" s="9">
        <v>99.999916999999996</v>
      </c>
      <c r="AB12" t="b">
        <f t="shared" si="0"/>
        <v>0</v>
      </c>
    </row>
    <row r="13" spans="1:28" x14ac:dyDescent="0.3">
      <c r="A13">
        <v>897011</v>
      </c>
      <c r="B13" t="s">
        <v>47</v>
      </c>
      <c r="C13" t="s">
        <v>48</v>
      </c>
      <c r="D13" t="s">
        <v>49</v>
      </c>
      <c r="E13" t="s">
        <v>50</v>
      </c>
      <c r="O13" t="s">
        <v>45</v>
      </c>
      <c r="P13" t="s">
        <v>46</v>
      </c>
      <c r="Q13" t="s">
        <v>51</v>
      </c>
      <c r="T13" s="8">
        <v>50</v>
      </c>
      <c r="X13">
        <v>39121702</v>
      </c>
      <c r="Y13" s="9">
        <v>84.350989999999996</v>
      </c>
      <c r="Z13">
        <v>39121702</v>
      </c>
      <c r="AA13" s="9">
        <v>84.350989999999996</v>
      </c>
      <c r="AB13" t="b">
        <f t="shared" si="0"/>
        <v>0</v>
      </c>
    </row>
    <row r="14" spans="1:28" x14ac:dyDescent="0.3">
      <c r="A14">
        <v>897013</v>
      </c>
      <c r="B14" t="s">
        <v>64</v>
      </c>
      <c r="C14" t="s">
        <v>65</v>
      </c>
      <c r="D14" t="s">
        <v>66</v>
      </c>
      <c r="E14" t="s">
        <v>67</v>
      </c>
      <c r="O14" t="s">
        <v>68</v>
      </c>
      <c r="P14" t="s">
        <v>65</v>
      </c>
      <c r="Q14" t="s">
        <v>40</v>
      </c>
      <c r="T14" s="8">
        <v>60</v>
      </c>
      <c r="X14">
        <v>39101605</v>
      </c>
      <c r="Y14" s="8">
        <v>67.929664888888894</v>
      </c>
      <c r="Z14">
        <v>39101605</v>
      </c>
      <c r="AA14" s="8">
        <v>67.929664888888894</v>
      </c>
      <c r="AB14" t="b">
        <f t="shared" si="0"/>
        <v>0</v>
      </c>
    </row>
    <row r="15" spans="1:28" x14ac:dyDescent="0.3">
      <c r="A15">
        <v>897014</v>
      </c>
      <c r="B15" t="s">
        <v>69</v>
      </c>
      <c r="C15" t="s">
        <v>39</v>
      </c>
      <c r="D15" t="s">
        <v>70</v>
      </c>
      <c r="E15" t="s">
        <v>71</v>
      </c>
      <c r="G15">
        <v>338889</v>
      </c>
      <c r="H15" t="s">
        <v>72</v>
      </c>
      <c r="I15" t="s">
        <v>73</v>
      </c>
      <c r="J15" s="5">
        <v>783310013617</v>
      </c>
      <c r="K15">
        <v>27111510</v>
      </c>
      <c r="L15" t="s">
        <v>71</v>
      </c>
      <c r="M15">
        <v>259146</v>
      </c>
      <c r="N15" t="s">
        <v>74</v>
      </c>
      <c r="O15" t="s">
        <v>73</v>
      </c>
      <c r="Q15" t="s">
        <v>75</v>
      </c>
      <c r="R15" s="9">
        <v>0.931123280854802</v>
      </c>
      <c r="S15" s="9">
        <v>79.056164042740093</v>
      </c>
      <c r="T15" s="9">
        <v>51.0561640427401</v>
      </c>
      <c r="U15" s="9">
        <v>98.224656170960401</v>
      </c>
      <c r="X15">
        <v>27111510</v>
      </c>
      <c r="Y15" s="8">
        <v>93.556150000000002</v>
      </c>
      <c r="Z15">
        <v>27111510</v>
      </c>
      <c r="AA15" s="8">
        <v>93.556150000000002</v>
      </c>
      <c r="AB15" t="b">
        <f t="shared" si="0"/>
        <v>0</v>
      </c>
    </row>
    <row r="16" spans="1:28" x14ac:dyDescent="0.3">
      <c r="A16">
        <v>897016</v>
      </c>
      <c r="B16" t="s">
        <v>76</v>
      </c>
      <c r="C16" t="s">
        <v>77</v>
      </c>
      <c r="D16" t="s">
        <v>78</v>
      </c>
      <c r="E16" t="s">
        <v>79</v>
      </c>
      <c r="AB16" t="b">
        <f t="shared" si="0"/>
        <v>0</v>
      </c>
    </row>
    <row r="17" spans="1:28" x14ac:dyDescent="0.3">
      <c r="A17">
        <v>897017</v>
      </c>
      <c r="B17" t="s">
        <v>80</v>
      </c>
      <c r="C17" t="s">
        <v>81</v>
      </c>
      <c r="D17" t="s">
        <v>82</v>
      </c>
      <c r="G17">
        <v>320038</v>
      </c>
      <c r="H17" t="s">
        <v>83</v>
      </c>
      <c r="I17" t="s">
        <v>84</v>
      </c>
      <c r="J17" s="5">
        <v>782979380740</v>
      </c>
      <c r="K17">
        <v>39111706</v>
      </c>
      <c r="M17">
        <v>12046</v>
      </c>
      <c r="N17" t="s">
        <v>85</v>
      </c>
      <c r="O17" t="s">
        <v>84</v>
      </c>
      <c r="Q17" t="s">
        <v>86</v>
      </c>
      <c r="R17" s="9">
        <v>0.88604196895176901</v>
      </c>
      <c r="S17" s="8">
        <v>100</v>
      </c>
      <c r="T17" s="8">
        <v>100</v>
      </c>
      <c r="U17" s="8">
        <v>100</v>
      </c>
      <c r="V17" t="s">
        <v>84</v>
      </c>
      <c r="W17" s="9">
        <v>89.769989999999893</v>
      </c>
      <c r="X17">
        <v>39111706</v>
      </c>
      <c r="Y17" s="9">
        <v>89.769989999999893</v>
      </c>
      <c r="Z17">
        <v>39111706</v>
      </c>
      <c r="AA17" s="9">
        <v>89.769989999999893</v>
      </c>
      <c r="AB17" t="b">
        <f t="shared" si="0"/>
        <v>0</v>
      </c>
    </row>
    <row r="18" spans="1:28" x14ac:dyDescent="0.3">
      <c r="A18">
        <v>897018</v>
      </c>
      <c r="B18" t="s">
        <v>87</v>
      </c>
      <c r="C18" t="s">
        <v>88</v>
      </c>
      <c r="D18" t="s">
        <v>89</v>
      </c>
      <c r="AB18" t="b">
        <f t="shared" si="0"/>
        <v>0</v>
      </c>
    </row>
    <row r="19" spans="1:28" x14ac:dyDescent="0.3">
      <c r="A19">
        <v>897019</v>
      </c>
      <c r="B19" t="s">
        <v>90</v>
      </c>
      <c r="AB19" t="b">
        <f t="shared" si="0"/>
        <v>0</v>
      </c>
    </row>
    <row r="20" spans="1:28" x14ac:dyDescent="0.3">
      <c r="A20">
        <v>897020</v>
      </c>
      <c r="B20" t="s">
        <v>91</v>
      </c>
      <c r="G20">
        <v>323889</v>
      </c>
      <c r="H20">
        <v>1101000</v>
      </c>
      <c r="I20" t="s">
        <v>92</v>
      </c>
      <c r="J20" s="5">
        <v>784610045148</v>
      </c>
      <c r="K20">
        <v>31162310</v>
      </c>
      <c r="M20">
        <v>161199</v>
      </c>
      <c r="N20" t="s">
        <v>93</v>
      </c>
      <c r="O20" t="s">
        <v>92</v>
      </c>
      <c r="Q20" t="s">
        <v>86</v>
      </c>
      <c r="R20" s="9">
        <v>0.34200931176737998</v>
      </c>
      <c r="S20" s="9">
        <v>54.600465588368998</v>
      </c>
      <c r="T20" s="9">
        <v>58.600465588368998</v>
      </c>
      <c r="U20" s="8">
        <v>0</v>
      </c>
      <c r="AB20" t="b">
        <f t="shared" si="0"/>
        <v>0</v>
      </c>
    </row>
    <row r="21" spans="1:28" x14ac:dyDescent="0.3">
      <c r="A21">
        <v>897021</v>
      </c>
      <c r="B21" t="s">
        <v>94</v>
      </c>
      <c r="AB21" t="b">
        <f t="shared" si="0"/>
        <v>0</v>
      </c>
    </row>
    <row r="22" spans="1:28" x14ac:dyDescent="0.3">
      <c r="A22">
        <v>897022</v>
      </c>
      <c r="B22" t="s">
        <v>95</v>
      </c>
      <c r="O22" t="s">
        <v>96</v>
      </c>
      <c r="P22" t="s">
        <v>96</v>
      </c>
      <c r="Q22" t="s">
        <v>40</v>
      </c>
      <c r="T22" s="8">
        <v>80</v>
      </c>
      <c r="AB22" t="b">
        <f t="shared" si="0"/>
        <v>0</v>
      </c>
    </row>
    <row r="23" spans="1:28" x14ac:dyDescent="0.3">
      <c r="A23">
        <v>897023</v>
      </c>
      <c r="B23" t="s">
        <v>97</v>
      </c>
      <c r="O23" t="s">
        <v>96</v>
      </c>
      <c r="P23" t="s">
        <v>96</v>
      </c>
      <c r="Q23" t="s">
        <v>40</v>
      </c>
      <c r="T23" s="8">
        <v>80</v>
      </c>
      <c r="AB23" t="b">
        <f t="shared" si="0"/>
        <v>0</v>
      </c>
    </row>
    <row r="24" spans="1:28" x14ac:dyDescent="0.3">
      <c r="A24">
        <v>897024</v>
      </c>
      <c r="B24" t="s">
        <v>98</v>
      </c>
      <c r="G24">
        <v>340866</v>
      </c>
      <c r="H24">
        <v>4200</v>
      </c>
      <c r="I24" t="s">
        <v>99</v>
      </c>
      <c r="J24" s="5">
        <v>783126612707</v>
      </c>
      <c r="K24">
        <v>39131707</v>
      </c>
      <c r="L24" t="s">
        <v>100</v>
      </c>
      <c r="M24">
        <v>264912</v>
      </c>
      <c r="N24" t="s">
        <v>101</v>
      </c>
      <c r="O24" t="s">
        <v>99</v>
      </c>
      <c r="Q24" t="s">
        <v>75</v>
      </c>
      <c r="R24" s="9">
        <v>0.36631487641070298</v>
      </c>
      <c r="S24" s="9">
        <v>30.815743820535101</v>
      </c>
      <c r="T24" s="9">
        <v>10.815743820535101</v>
      </c>
      <c r="U24" s="8">
        <v>0</v>
      </c>
      <c r="AB24" t="b">
        <f t="shared" si="0"/>
        <v>0</v>
      </c>
    </row>
    <row r="25" spans="1:28" ht="43.2" x14ac:dyDescent="0.3">
      <c r="A25">
        <v>897025</v>
      </c>
      <c r="B25" s="2" t="s">
        <v>102</v>
      </c>
      <c r="E25" t="s">
        <v>103</v>
      </c>
      <c r="V25" t="s">
        <v>104</v>
      </c>
      <c r="W25" s="9">
        <v>89.190799999999996</v>
      </c>
      <c r="X25">
        <v>30101804</v>
      </c>
      <c r="Y25" s="9">
        <v>89.190799999999996</v>
      </c>
      <c r="Z25">
        <v>30101804</v>
      </c>
      <c r="AA25" s="9">
        <v>89.190799999999996</v>
      </c>
      <c r="AB25" t="b">
        <f t="shared" si="0"/>
        <v>0</v>
      </c>
    </row>
    <row r="26" spans="1:28" ht="43.2" x14ac:dyDescent="0.3">
      <c r="A26">
        <v>897026</v>
      </c>
      <c r="B26" s="2" t="s">
        <v>105</v>
      </c>
      <c r="E26" t="s">
        <v>44</v>
      </c>
      <c r="AB26" t="b">
        <f t="shared" si="0"/>
        <v>0</v>
      </c>
    </row>
    <row r="27" spans="1:28" x14ac:dyDescent="0.3">
      <c r="A27">
        <v>897027</v>
      </c>
      <c r="B27" t="s">
        <v>106</v>
      </c>
      <c r="X27">
        <v>26121603</v>
      </c>
      <c r="Y27" s="8">
        <v>80.355639999999994</v>
      </c>
      <c r="Z27">
        <v>26121603</v>
      </c>
      <c r="AA27" s="8">
        <v>80.355639999999994</v>
      </c>
      <c r="AB27" t="b">
        <f t="shared" si="0"/>
        <v>0</v>
      </c>
    </row>
    <row r="28" spans="1:28" x14ac:dyDescent="0.3">
      <c r="A28">
        <v>897028</v>
      </c>
      <c r="B28" t="s">
        <v>106</v>
      </c>
      <c r="X28">
        <v>26121603</v>
      </c>
      <c r="Y28" s="8">
        <v>80.355639999999994</v>
      </c>
      <c r="Z28">
        <v>26121603</v>
      </c>
      <c r="AA28" s="9">
        <v>80.302112999999906</v>
      </c>
      <c r="AB28" t="b">
        <f t="shared" si="0"/>
        <v>0</v>
      </c>
    </row>
    <row r="29" spans="1:28" x14ac:dyDescent="0.3">
      <c r="A29">
        <v>897029</v>
      </c>
      <c r="B29" t="s">
        <v>107</v>
      </c>
      <c r="AB29" t="b">
        <f t="shared" si="0"/>
        <v>0</v>
      </c>
    </row>
    <row r="30" spans="1:28" x14ac:dyDescent="0.3">
      <c r="A30">
        <v>897030</v>
      </c>
      <c r="B30" t="s">
        <v>108</v>
      </c>
      <c r="AB30" t="b">
        <f t="shared" si="0"/>
        <v>0</v>
      </c>
    </row>
    <row r="31" spans="1:28" ht="57.6" x14ac:dyDescent="0.3">
      <c r="A31">
        <v>897032</v>
      </c>
      <c r="B31" s="2" t="s">
        <v>109</v>
      </c>
      <c r="E31" t="s">
        <v>110</v>
      </c>
      <c r="AB31" t="b">
        <f t="shared" si="0"/>
        <v>0</v>
      </c>
    </row>
    <row r="32" spans="1:28" ht="57.6" x14ac:dyDescent="0.3">
      <c r="A32">
        <v>897033</v>
      </c>
      <c r="B32" s="2" t="s">
        <v>111</v>
      </c>
      <c r="E32" t="s">
        <v>112</v>
      </c>
      <c r="X32">
        <v>39121428</v>
      </c>
      <c r="Y32" s="8">
        <v>79.37088</v>
      </c>
      <c r="Z32">
        <v>39121428</v>
      </c>
      <c r="AA32" s="8">
        <v>79.37088</v>
      </c>
      <c r="AB32" t="b">
        <f t="shared" si="0"/>
        <v>0</v>
      </c>
    </row>
    <row r="33" spans="1:28" ht="57.6" x14ac:dyDescent="0.3">
      <c r="A33">
        <v>897034</v>
      </c>
      <c r="B33" s="2" t="s">
        <v>113</v>
      </c>
      <c r="E33" t="s">
        <v>114</v>
      </c>
      <c r="X33">
        <v>39121428</v>
      </c>
      <c r="Y33" s="8">
        <v>79.904914000000005</v>
      </c>
      <c r="Z33">
        <v>39121428</v>
      </c>
      <c r="AA33" s="8">
        <v>79.904914000000005</v>
      </c>
      <c r="AB33" t="b">
        <f t="shared" si="0"/>
        <v>0</v>
      </c>
    </row>
    <row r="34" spans="1:28" x14ac:dyDescent="0.3">
      <c r="A34">
        <v>897035</v>
      </c>
      <c r="B34" t="s">
        <v>115</v>
      </c>
      <c r="AB34" t="b">
        <f t="shared" si="0"/>
        <v>0</v>
      </c>
    </row>
    <row r="35" spans="1:28" x14ac:dyDescent="0.3">
      <c r="A35">
        <v>897036</v>
      </c>
      <c r="B35" t="s">
        <v>116</v>
      </c>
      <c r="AB35" t="b">
        <f t="shared" si="0"/>
        <v>0</v>
      </c>
    </row>
    <row r="36" spans="1:28" x14ac:dyDescent="0.3">
      <c r="A36">
        <v>897037</v>
      </c>
      <c r="B36" t="s">
        <v>117</v>
      </c>
      <c r="AB36" t="b">
        <f t="shared" si="0"/>
        <v>0</v>
      </c>
    </row>
    <row r="37" spans="1:28" x14ac:dyDescent="0.3">
      <c r="A37">
        <v>897038</v>
      </c>
      <c r="B37" t="s">
        <v>118</v>
      </c>
      <c r="O37" t="s">
        <v>96</v>
      </c>
      <c r="P37" t="s">
        <v>96</v>
      </c>
      <c r="Q37" t="s">
        <v>40</v>
      </c>
      <c r="T37" s="8">
        <v>80</v>
      </c>
      <c r="X37">
        <v>46171501</v>
      </c>
      <c r="Y37" s="9">
        <v>75.427619999999905</v>
      </c>
      <c r="Z37">
        <v>46171501</v>
      </c>
      <c r="AA37" s="9">
        <v>75.427619999999905</v>
      </c>
      <c r="AB37" t="b">
        <f t="shared" si="0"/>
        <v>0</v>
      </c>
    </row>
    <row r="38" spans="1:28" x14ac:dyDescent="0.3">
      <c r="A38">
        <v>897040</v>
      </c>
      <c r="B38" t="s">
        <v>119</v>
      </c>
      <c r="D38" t="s">
        <v>120</v>
      </c>
      <c r="AB38" t="b">
        <f t="shared" si="0"/>
        <v>0</v>
      </c>
    </row>
    <row r="39" spans="1:28" x14ac:dyDescent="0.3">
      <c r="A39">
        <v>897041</v>
      </c>
      <c r="B39" t="s">
        <v>121</v>
      </c>
      <c r="C39" t="s">
        <v>122</v>
      </c>
      <c r="D39" s="1" t="s">
        <v>123</v>
      </c>
      <c r="E39" t="s">
        <v>124</v>
      </c>
      <c r="F39">
        <v>98002002030</v>
      </c>
      <c r="O39" t="s">
        <v>45</v>
      </c>
      <c r="P39" t="s">
        <v>42</v>
      </c>
      <c r="Q39" t="s">
        <v>40</v>
      </c>
      <c r="T39" s="8">
        <v>60</v>
      </c>
      <c r="X39">
        <v>39121464</v>
      </c>
      <c r="Y39" s="8">
        <v>83.689076</v>
      </c>
      <c r="Z39">
        <v>39121464</v>
      </c>
      <c r="AA39" s="8">
        <v>83.689076</v>
      </c>
      <c r="AB39" t="b">
        <f t="shared" si="0"/>
        <v>0</v>
      </c>
    </row>
    <row r="40" spans="1:28" x14ac:dyDescent="0.3">
      <c r="A40">
        <v>897042</v>
      </c>
      <c r="B40" t="s">
        <v>125</v>
      </c>
      <c r="C40" t="s">
        <v>126</v>
      </c>
      <c r="D40" t="s">
        <v>127</v>
      </c>
      <c r="F40">
        <v>68536004703</v>
      </c>
      <c r="AB40" t="b">
        <f t="shared" si="0"/>
        <v>0</v>
      </c>
    </row>
    <row r="41" spans="1:28" x14ac:dyDescent="0.3">
      <c r="A41">
        <v>897043</v>
      </c>
      <c r="B41" t="s">
        <v>128</v>
      </c>
      <c r="C41" t="s">
        <v>129</v>
      </c>
      <c r="D41" t="s">
        <v>130</v>
      </c>
      <c r="F41">
        <v>78316401219</v>
      </c>
      <c r="G41">
        <v>336087</v>
      </c>
      <c r="H41" t="s">
        <v>130</v>
      </c>
      <c r="I41" t="s">
        <v>131</v>
      </c>
      <c r="J41" s="5">
        <v>783164012194</v>
      </c>
      <c r="K41">
        <v>39121601</v>
      </c>
      <c r="L41" t="s">
        <v>132</v>
      </c>
      <c r="M41">
        <v>258800</v>
      </c>
      <c r="N41" t="s">
        <v>133</v>
      </c>
      <c r="O41" t="s">
        <v>131</v>
      </c>
      <c r="P41" t="s">
        <v>129</v>
      </c>
      <c r="Q41" t="s">
        <v>40</v>
      </c>
      <c r="R41" s="9">
        <v>0.97577338452824203</v>
      </c>
      <c r="S41" s="8">
        <v>100</v>
      </c>
      <c r="T41" s="8">
        <v>100</v>
      </c>
      <c r="U41" s="8">
        <v>100</v>
      </c>
      <c r="V41" t="s">
        <v>131</v>
      </c>
      <c r="W41" s="8">
        <v>78.10772</v>
      </c>
      <c r="X41">
        <v>39121601</v>
      </c>
      <c r="Y41" s="8">
        <v>97.634649999999993</v>
      </c>
      <c r="Z41">
        <v>39121601</v>
      </c>
      <c r="AA41" s="8">
        <v>97.634649999999993</v>
      </c>
      <c r="AB41" t="b">
        <f t="shared" si="0"/>
        <v>0</v>
      </c>
    </row>
    <row r="42" spans="1:28" x14ac:dyDescent="0.3">
      <c r="A42">
        <v>897044</v>
      </c>
      <c r="B42" t="s">
        <v>134</v>
      </c>
      <c r="C42" t="s">
        <v>48</v>
      </c>
      <c r="D42" t="s">
        <v>135</v>
      </c>
      <c r="E42" t="s">
        <v>136</v>
      </c>
      <c r="F42">
        <v>78101151593</v>
      </c>
      <c r="G42">
        <v>335848</v>
      </c>
      <c r="H42" t="s">
        <v>137</v>
      </c>
      <c r="I42" t="s">
        <v>104</v>
      </c>
      <c r="J42" s="5">
        <v>781011515935</v>
      </c>
      <c r="K42">
        <v>30101800</v>
      </c>
      <c r="L42" t="s">
        <v>136</v>
      </c>
      <c r="M42">
        <v>268187</v>
      </c>
      <c r="N42" t="s">
        <v>138</v>
      </c>
      <c r="O42" t="s">
        <v>48</v>
      </c>
      <c r="P42" t="s">
        <v>48</v>
      </c>
      <c r="Q42" t="s">
        <v>40</v>
      </c>
      <c r="R42" s="9">
        <v>0.92891371477001805</v>
      </c>
      <c r="S42" s="8">
        <v>100</v>
      </c>
      <c r="T42" s="8">
        <v>100</v>
      </c>
      <c r="U42" s="8">
        <v>100</v>
      </c>
      <c r="V42" t="s">
        <v>104</v>
      </c>
      <c r="W42" s="8">
        <v>93.363169999999997</v>
      </c>
      <c r="X42">
        <v>30101800</v>
      </c>
      <c r="Y42" s="8">
        <v>74.690535999999994</v>
      </c>
      <c r="Z42">
        <v>30101800</v>
      </c>
      <c r="AA42" s="8">
        <v>93.066357499999995</v>
      </c>
      <c r="AB42" t="b">
        <f t="shared" si="0"/>
        <v>0</v>
      </c>
    </row>
    <row r="43" spans="1:28" x14ac:dyDescent="0.3">
      <c r="A43">
        <v>897045</v>
      </c>
      <c r="B43" t="s">
        <v>139</v>
      </c>
      <c r="AB43" t="b">
        <f t="shared" si="0"/>
        <v>0</v>
      </c>
    </row>
    <row r="44" spans="1:28" x14ac:dyDescent="0.3">
      <c r="A44">
        <v>897047</v>
      </c>
      <c r="B44" t="s">
        <v>140</v>
      </c>
      <c r="O44" t="s">
        <v>141</v>
      </c>
      <c r="P44" t="s">
        <v>141</v>
      </c>
      <c r="Q44" t="s">
        <v>51</v>
      </c>
      <c r="T44" s="8">
        <v>50</v>
      </c>
      <c r="AB44" t="b">
        <f t="shared" si="0"/>
        <v>0</v>
      </c>
    </row>
    <row r="45" spans="1:28" x14ac:dyDescent="0.3">
      <c r="A45">
        <v>897048</v>
      </c>
      <c r="B45" t="s">
        <v>142</v>
      </c>
      <c r="O45" t="s">
        <v>96</v>
      </c>
      <c r="P45" t="s">
        <v>96</v>
      </c>
      <c r="Q45" t="s">
        <v>40</v>
      </c>
      <c r="T45" s="8">
        <v>80</v>
      </c>
      <c r="AB45" t="b">
        <f t="shared" si="0"/>
        <v>0</v>
      </c>
    </row>
    <row r="46" spans="1:28" x14ac:dyDescent="0.3">
      <c r="A46">
        <v>897049</v>
      </c>
      <c r="B46" t="s">
        <v>143</v>
      </c>
      <c r="O46" t="s">
        <v>144</v>
      </c>
      <c r="P46" t="s">
        <v>144</v>
      </c>
      <c r="Q46" t="s">
        <v>40</v>
      </c>
      <c r="T46" s="8">
        <v>60</v>
      </c>
      <c r="X46">
        <v>31201501</v>
      </c>
      <c r="Y46" s="8">
        <v>78.379834000000002</v>
      </c>
      <c r="Z46">
        <v>31201501</v>
      </c>
      <c r="AA46" s="8">
        <v>78.379834000000002</v>
      </c>
      <c r="AB46" t="b">
        <f t="shared" si="0"/>
        <v>0</v>
      </c>
    </row>
    <row r="47" spans="1:28" x14ac:dyDescent="0.3">
      <c r="A47">
        <v>897052</v>
      </c>
      <c r="B47" t="s">
        <v>145</v>
      </c>
      <c r="G47">
        <v>184823</v>
      </c>
      <c r="H47">
        <v>11335</v>
      </c>
      <c r="I47" t="s">
        <v>146</v>
      </c>
      <c r="J47" s="6" t="s">
        <v>147</v>
      </c>
      <c r="K47">
        <v>39121304</v>
      </c>
      <c r="M47">
        <v>208316</v>
      </c>
      <c r="N47" t="s">
        <v>148</v>
      </c>
      <c r="O47" t="s">
        <v>146</v>
      </c>
      <c r="Q47" t="s">
        <v>86</v>
      </c>
      <c r="R47" s="9">
        <v>0.36580558125690799</v>
      </c>
      <c r="S47" s="9">
        <v>50.7902790628454</v>
      </c>
      <c r="T47" s="9">
        <v>56.7902790628454</v>
      </c>
      <c r="U47" s="8">
        <v>0</v>
      </c>
      <c r="AB47" t="b">
        <f t="shared" si="0"/>
        <v>0</v>
      </c>
    </row>
    <row r="48" spans="1:28" x14ac:dyDescent="0.3">
      <c r="A48">
        <v>897055</v>
      </c>
      <c r="B48" t="s">
        <v>149</v>
      </c>
      <c r="C48" t="s">
        <v>150</v>
      </c>
      <c r="D48">
        <v>12803</v>
      </c>
      <c r="F48" s="1" t="s">
        <v>151</v>
      </c>
      <c r="G48">
        <v>192402</v>
      </c>
      <c r="H48">
        <v>12803</v>
      </c>
      <c r="I48" t="s">
        <v>146</v>
      </c>
      <c r="J48" s="6" t="s">
        <v>152</v>
      </c>
      <c r="K48">
        <v>39131708</v>
      </c>
      <c r="M48">
        <v>156937</v>
      </c>
      <c r="N48" t="s">
        <v>149</v>
      </c>
      <c r="O48" t="s">
        <v>146</v>
      </c>
      <c r="P48" t="s">
        <v>150</v>
      </c>
      <c r="Q48" t="s">
        <v>51</v>
      </c>
      <c r="R48" s="9">
        <v>0.99999910572635597</v>
      </c>
      <c r="S48" s="9">
        <v>92.4999552863178</v>
      </c>
      <c r="T48" s="9">
        <v>78.4999552863178</v>
      </c>
      <c r="U48" s="8">
        <v>100</v>
      </c>
      <c r="V48" t="s">
        <v>146</v>
      </c>
      <c r="W48" s="9">
        <v>99.999929999999907</v>
      </c>
      <c r="X48">
        <v>39131708</v>
      </c>
      <c r="Y48" s="9">
        <v>59.999957999999999</v>
      </c>
      <c r="Z48">
        <v>39131708</v>
      </c>
      <c r="AA48" s="9">
        <v>59.999957999999999</v>
      </c>
      <c r="AB48" t="b">
        <f t="shared" si="0"/>
        <v>0</v>
      </c>
    </row>
    <row r="49" spans="1:28" x14ac:dyDescent="0.3">
      <c r="A49">
        <v>897056</v>
      </c>
      <c r="B49" t="s">
        <v>153</v>
      </c>
      <c r="C49" t="s">
        <v>154</v>
      </c>
      <c r="D49" t="s">
        <v>155</v>
      </c>
      <c r="F49">
        <v>98006006003</v>
      </c>
      <c r="O49" t="s">
        <v>45</v>
      </c>
      <c r="P49" t="s">
        <v>154</v>
      </c>
      <c r="Q49" t="s">
        <v>40</v>
      </c>
      <c r="T49" s="8">
        <v>60</v>
      </c>
      <c r="AB49" t="b">
        <f t="shared" si="0"/>
        <v>0</v>
      </c>
    </row>
    <row r="50" spans="1:28" x14ac:dyDescent="0.3">
      <c r="A50">
        <v>897057</v>
      </c>
      <c r="B50" t="s">
        <v>156</v>
      </c>
      <c r="C50" t="s">
        <v>48</v>
      </c>
      <c r="D50" t="s">
        <v>157</v>
      </c>
      <c r="E50" t="s">
        <v>158</v>
      </c>
      <c r="F50">
        <v>78101140333</v>
      </c>
      <c r="O50" t="s">
        <v>48</v>
      </c>
      <c r="P50" t="s">
        <v>48</v>
      </c>
      <c r="Q50" t="s">
        <v>40</v>
      </c>
      <c r="T50" s="8">
        <v>90</v>
      </c>
      <c r="V50" t="s">
        <v>104</v>
      </c>
      <c r="W50" s="8">
        <v>91.988056999999998</v>
      </c>
      <c r="X50">
        <v>31161708</v>
      </c>
      <c r="Y50" s="8">
        <v>91.988056999999998</v>
      </c>
      <c r="Z50">
        <v>31161708</v>
      </c>
      <c r="AA50" s="8">
        <v>91.988056999999998</v>
      </c>
      <c r="AB50" t="b">
        <f t="shared" si="0"/>
        <v>0</v>
      </c>
    </row>
    <row r="51" spans="1:28" x14ac:dyDescent="0.3">
      <c r="A51">
        <v>897058</v>
      </c>
      <c r="B51" t="s">
        <v>159</v>
      </c>
      <c r="C51" t="s">
        <v>160</v>
      </c>
      <c r="D51" t="s">
        <v>161</v>
      </c>
      <c r="E51" t="s">
        <v>162</v>
      </c>
      <c r="F51" s="1" t="s">
        <v>163</v>
      </c>
      <c r="G51">
        <v>249197</v>
      </c>
      <c r="H51">
        <v>48207451</v>
      </c>
      <c r="I51" t="s">
        <v>164</v>
      </c>
      <c r="J51" s="6" t="s">
        <v>165</v>
      </c>
      <c r="K51">
        <v>27111543</v>
      </c>
      <c r="M51">
        <v>15193</v>
      </c>
      <c r="N51" t="s">
        <v>159</v>
      </c>
      <c r="O51" t="s">
        <v>164</v>
      </c>
      <c r="P51" t="s">
        <v>160</v>
      </c>
      <c r="Q51" t="s">
        <v>40</v>
      </c>
      <c r="R51" s="9">
        <v>0.99999914041654203</v>
      </c>
      <c r="S51" s="8">
        <v>100</v>
      </c>
      <c r="T51" s="8">
        <v>100</v>
      </c>
      <c r="U51" s="8">
        <v>100</v>
      </c>
      <c r="V51" t="s">
        <v>164</v>
      </c>
      <c r="W51" s="9">
        <v>99.999929999999907</v>
      </c>
      <c r="X51">
        <v>27111543</v>
      </c>
      <c r="Y51" s="9">
        <v>99.999929999999907</v>
      </c>
      <c r="Z51">
        <v>27111543</v>
      </c>
      <c r="AA51" s="8">
        <v>99.999930000000006</v>
      </c>
      <c r="AB51" t="b">
        <f t="shared" si="0"/>
        <v>0</v>
      </c>
    </row>
    <row r="52" spans="1:28" x14ac:dyDescent="0.3">
      <c r="A52">
        <v>897059</v>
      </c>
      <c r="B52" t="s">
        <v>166</v>
      </c>
      <c r="C52" t="s">
        <v>167</v>
      </c>
      <c r="D52" t="s">
        <v>168</v>
      </c>
      <c r="E52" t="s">
        <v>169</v>
      </c>
      <c r="F52">
        <v>98006006103</v>
      </c>
      <c r="O52" t="s">
        <v>45</v>
      </c>
      <c r="P52" t="s">
        <v>167</v>
      </c>
      <c r="Q52" t="s">
        <v>40</v>
      </c>
      <c r="T52" s="8">
        <v>90</v>
      </c>
      <c r="X52">
        <v>39131707</v>
      </c>
      <c r="Y52" s="8">
        <v>82.07996</v>
      </c>
      <c r="Z52">
        <v>39131707</v>
      </c>
      <c r="AA52" s="8">
        <v>82.07996</v>
      </c>
      <c r="AB52" t="b">
        <f t="shared" si="0"/>
        <v>0</v>
      </c>
    </row>
    <row r="53" spans="1:28" x14ac:dyDescent="0.3">
      <c r="A53">
        <v>897060</v>
      </c>
      <c r="B53" t="s">
        <v>170</v>
      </c>
      <c r="C53" t="s">
        <v>171</v>
      </c>
      <c r="D53">
        <v>32766</v>
      </c>
      <c r="E53" t="s">
        <v>172</v>
      </c>
      <c r="F53" s="1" t="s">
        <v>173</v>
      </c>
      <c r="G53">
        <v>307266</v>
      </c>
      <c r="H53">
        <v>32766</v>
      </c>
      <c r="I53" t="s">
        <v>174</v>
      </c>
      <c r="J53" s="6" t="s">
        <v>175</v>
      </c>
      <c r="K53">
        <v>27112828</v>
      </c>
      <c r="M53">
        <v>97354</v>
      </c>
      <c r="N53" t="s">
        <v>176</v>
      </c>
      <c r="O53" t="s">
        <v>174</v>
      </c>
      <c r="P53" t="s">
        <v>171</v>
      </c>
      <c r="Q53" t="s">
        <v>40</v>
      </c>
      <c r="R53" s="8">
        <v>0.89919982920306996</v>
      </c>
      <c r="S53" s="8">
        <v>97.459991460153503</v>
      </c>
      <c r="T53" s="8">
        <v>100</v>
      </c>
      <c r="U53" s="8">
        <v>100</v>
      </c>
      <c r="V53" t="s">
        <v>174</v>
      </c>
      <c r="W53" s="9">
        <v>90.842999999999904</v>
      </c>
      <c r="X53">
        <v>27112828</v>
      </c>
      <c r="Y53" s="9">
        <v>90.842999999999904</v>
      </c>
      <c r="Z53">
        <v>27112828</v>
      </c>
      <c r="AA53" s="9">
        <v>90.842999999999904</v>
      </c>
      <c r="AB53" t="b">
        <f t="shared" si="0"/>
        <v>0</v>
      </c>
    </row>
    <row r="54" spans="1:28" x14ac:dyDescent="0.3">
      <c r="A54">
        <v>897062</v>
      </c>
      <c r="B54" t="s">
        <v>177</v>
      </c>
      <c r="C54" t="s">
        <v>178</v>
      </c>
      <c r="D54" t="s">
        <v>179</v>
      </c>
      <c r="E54" t="s">
        <v>180</v>
      </c>
      <c r="F54" s="1" t="s">
        <v>181</v>
      </c>
      <c r="G54">
        <v>214845</v>
      </c>
      <c r="H54" t="s">
        <v>182</v>
      </c>
      <c r="I54" t="s">
        <v>178</v>
      </c>
      <c r="J54" s="6" t="s">
        <v>183</v>
      </c>
      <c r="K54">
        <v>26111702</v>
      </c>
      <c r="M54">
        <v>200434</v>
      </c>
      <c r="N54" t="s">
        <v>184</v>
      </c>
      <c r="O54" t="s">
        <v>178</v>
      </c>
      <c r="P54" t="s">
        <v>178</v>
      </c>
      <c r="Q54" t="s">
        <v>40</v>
      </c>
      <c r="R54" s="9">
        <v>0.95078546066584302</v>
      </c>
      <c r="S54" s="8">
        <v>100</v>
      </c>
      <c r="T54" s="8">
        <v>100</v>
      </c>
      <c r="U54" s="8">
        <v>100</v>
      </c>
      <c r="V54" t="s">
        <v>178</v>
      </c>
      <c r="W54" s="8">
        <v>98.512185000000002</v>
      </c>
      <c r="X54">
        <v>26111702</v>
      </c>
      <c r="Y54" s="8">
        <v>98.512185000000002</v>
      </c>
      <c r="Z54">
        <v>26111702</v>
      </c>
      <c r="AA54" s="8">
        <v>98.512185000000002</v>
      </c>
      <c r="AB54" t="b">
        <f t="shared" si="0"/>
        <v>0</v>
      </c>
    </row>
    <row r="55" spans="1:28" x14ac:dyDescent="0.3">
      <c r="A55">
        <v>897063</v>
      </c>
      <c r="B55" t="s">
        <v>185</v>
      </c>
      <c r="C55" t="s">
        <v>144</v>
      </c>
      <c r="D55" t="s">
        <v>186</v>
      </c>
      <c r="E55" t="s">
        <v>187</v>
      </c>
      <c r="F55" s="1" t="s">
        <v>188</v>
      </c>
      <c r="G55">
        <v>341784</v>
      </c>
      <c r="H55" t="s">
        <v>189</v>
      </c>
      <c r="I55" t="s">
        <v>144</v>
      </c>
      <c r="J55" s="6" t="s">
        <v>190</v>
      </c>
      <c r="K55">
        <v>31201501</v>
      </c>
      <c r="L55" t="s">
        <v>187</v>
      </c>
      <c r="M55">
        <v>272692</v>
      </c>
      <c r="N55" t="s">
        <v>191</v>
      </c>
      <c r="O55" t="s">
        <v>144</v>
      </c>
      <c r="P55" t="s">
        <v>144</v>
      </c>
      <c r="Q55" t="s">
        <v>40</v>
      </c>
      <c r="R55" s="9">
        <v>0.95989759892885096</v>
      </c>
      <c r="S55" s="8">
        <v>100</v>
      </c>
      <c r="T55" s="8">
        <v>100</v>
      </c>
      <c r="U55" s="8">
        <v>100</v>
      </c>
      <c r="V55" t="s">
        <v>144</v>
      </c>
      <c r="W55" s="8">
        <v>96.144396</v>
      </c>
      <c r="X55">
        <v>31201501</v>
      </c>
      <c r="Y55" s="8">
        <v>96.144396</v>
      </c>
      <c r="Z55">
        <v>31201501</v>
      </c>
      <c r="AA55" s="8">
        <v>96.144396</v>
      </c>
      <c r="AB55" t="b">
        <f t="shared" si="0"/>
        <v>0</v>
      </c>
    </row>
    <row r="56" spans="1:28" x14ac:dyDescent="0.3">
      <c r="A56">
        <v>897064</v>
      </c>
      <c r="B56" t="s">
        <v>192</v>
      </c>
      <c r="C56" t="s">
        <v>193</v>
      </c>
      <c r="D56" t="s">
        <v>194</v>
      </c>
      <c r="F56" s="1" t="s">
        <v>195</v>
      </c>
      <c r="G56">
        <v>338315</v>
      </c>
      <c r="H56" t="s">
        <v>194</v>
      </c>
      <c r="I56" t="s">
        <v>92</v>
      </c>
      <c r="J56" s="6" t="s">
        <v>196</v>
      </c>
      <c r="K56">
        <v>31161504</v>
      </c>
      <c r="L56" t="s">
        <v>197</v>
      </c>
      <c r="M56">
        <v>257224</v>
      </c>
      <c r="N56" t="s">
        <v>198</v>
      </c>
      <c r="O56" t="s">
        <v>92</v>
      </c>
      <c r="Q56" t="s">
        <v>75</v>
      </c>
      <c r="R56" s="9">
        <v>0.92196298640262597</v>
      </c>
      <c r="S56" s="9">
        <v>63.598149320131299</v>
      </c>
      <c r="T56" s="9">
        <v>17.598149320131299</v>
      </c>
      <c r="U56" s="9">
        <v>83.392597280525294</v>
      </c>
      <c r="V56" t="s">
        <v>92</v>
      </c>
      <c r="W56" s="8">
        <v>92.761200000000002</v>
      </c>
      <c r="X56">
        <v>31161504</v>
      </c>
      <c r="Y56" s="8">
        <v>92.761200000000002</v>
      </c>
      <c r="Z56">
        <v>31161504</v>
      </c>
      <c r="AA56" s="8">
        <v>92.569937999999993</v>
      </c>
      <c r="AB56" t="b">
        <f t="shared" si="0"/>
        <v>0</v>
      </c>
    </row>
    <row r="57" spans="1:28" x14ac:dyDescent="0.3">
      <c r="A57">
        <v>897065</v>
      </c>
      <c r="B57" t="s">
        <v>199</v>
      </c>
      <c r="C57" t="s">
        <v>167</v>
      </c>
      <c r="D57" t="s">
        <v>200</v>
      </c>
      <c r="E57" t="s">
        <v>201</v>
      </c>
      <c r="F57">
        <v>98006006043</v>
      </c>
      <c r="O57" t="s">
        <v>45</v>
      </c>
      <c r="P57" t="s">
        <v>167</v>
      </c>
      <c r="Q57" t="s">
        <v>40</v>
      </c>
      <c r="T57" s="8">
        <v>90</v>
      </c>
      <c r="X57">
        <v>39131717</v>
      </c>
      <c r="Y57" s="8">
        <v>65.04316</v>
      </c>
      <c r="Z57">
        <v>39131717</v>
      </c>
      <c r="AA57" s="8">
        <v>65.048720000000003</v>
      </c>
      <c r="AB57" t="b">
        <f t="shared" si="0"/>
        <v>0</v>
      </c>
    </row>
    <row r="58" spans="1:28" x14ac:dyDescent="0.3">
      <c r="A58">
        <v>897066</v>
      </c>
      <c r="B58" t="s">
        <v>202</v>
      </c>
      <c r="C58" t="s">
        <v>39</v>
      </c>
      <c r="D58" t="s">
        <v>203</v>
      </c>
      <c r="E58" t="s">
        <v>197</v>
      </c>
      <c r="F58">
        <v>78331005761</v>
      </c>
      <c r="G58">
        <v>336422</v>
      </c>
      <c r="H58">
        <v>645001</v>
      </c>
      <c r="I58" t="s">
        <v>73</v>
      </c>
      <c r="J58" s="5">
        <v>783310057611</v>
      </c>
      <c r="K58">
        <v>27112800</v>
      </c>
      <c r="L58" t="s">
        <v>204</v>
      </c>
      <c r="M58">
        <v>259171</v>
      </c>
      <c r="N58" t="s">
        <v>205</v>
      </c>
      <c r="O58" t="s">
        <v>73</v>
      </c>
      <c r="Q58" t="s">
        <v>75</v>
      </c>
      <c r="R58" s="9">
        <v>0.88221864841023601</v>
      </c>
      <c r="S58" s="9">
        <v>61.610932420511801</v>
      </c>
      <c r="T58" s="9">
        <v>15.6109324205118</v>
      </c>
      <c r="U58" s="9">
        <v>75.443729682047206</v>
      </c>
      <c r="V58" t="s">
        <v>73</v>
      </c>
      <c r="W58" s="8">
        <v>89.462940000000003</v>
      </c>
      <c r="X58">
        <v>27112800</v>
      </c>
      <c r="Y58" s="8">
        <v>89.462940000000003</v>
      </c>
      <c r="Z58">
        <v>27112800</v>
      </c>
      <c r="AA58" s="8">
        <v>89.462940000000003</v>
      </c>
      <c r="AB58" t="b">
        <f t="shared" si="0"/>
        <v>0</v>
      </c>
    </row>
    <row r="59" spans="1:28" x14ac:dyDescent="0.3">
      <c r="A59">
        <v>897068</v>
      </c>
      <c r="B59" t="s">
        <v>206</v>
      </c>
      <c r="C59" t="s">
        <v>207</v>
      </c>
      <c r="D59" t="s">
        <v>208</v>
      </c>
      <c r="E59" t="s">
        <v>209</v>
      </c>
      <c r="X59">
        <v>26121634</v>
      </c>
      <c r="Y59" s="9">
        <v>81.831454999999906</v>
      </c>
      <c r="Z59">
        <v>26121634</v>
      </c>
      <c r="AA59" s="9">
        <v>81.831729999999993</v>
      </c>
      <c r="AB59" t="b">
        <f t="shared" si="0"/>
        <v>0</v>
      </c>
    </row>
    <row r="60" spans="1:28" x14ac:dyDescent="0.3">
      <c r="A60">
        <v>897069</v>
      </c>
      <c r="B60" t="s">
        <v>210</v>
      </c>
      <c r="C60" t="s">
        <v>207</v>
      </c>
      <c r="D60" t="s">
        <v>211</v>
      </c>
      <c r="E60" t="s">
        <v>212</v>
      </c>
      <c r="F60">
        <v>7498303395</v>
      </c>
      <c r="X60">
        <v>39121704</v>
      </c>
      <c r="Y60" s="8">
        <v>46.468784999999997</v>
      </c>
      <c r="Z60">
        <v>39121704</v>
      </c>
      <c r="AA60" s="8">
        <v>46.468784999999997</v>
      </c>
      <c r="AB60" t="b">
        <f t="shared" si="0"/>
        <v>0</v>
      </c>
    </row>
    <row r="61" spans="1:28" x14ac:dyDescent="0.3">
      <c r="A61">
        <v>897070</v>
      </c>
      <c r="B61" t="s">
        <v>213</v>
      </c>
      <c r="C61" t="s">
        <v>214</v>
      </c>
      <c r="D61" t="s">
        <v>215</v>
      </c>
      <c r="V61" t="s">
        <v>216</v>
      </c>
      <c r="W61" s="8">
        <v>85.374975000000006</v>
      </c>
      <c r="X61">
        <v>39111544</v>
      </c>
      <c r="Y61" s="8">
        <v>85.374975000000006</v>
      </c>
      <c r="Z61">
        <v>39111544</v>
      </c>
      <c r="AA61" s="8">
        <v>85.374975000000006</v>
      </c>
      <c r="AB61" t="b">
        <f t="shared" si="0"/>
        <v>0</v>
      </c>
    </row>
    <row r="62" spans="1:28" x14ac:dyDescent="0.3">
      <c r="A62">
        <v>897071</v>
      </c>
      <c r="B62" t="s">
        <v>217</v>
      </c>
      <c r="C62" t="s">
        <v>218</v>
      </c>
      <c r="D62" t="s">
        <v>219</v>
      </c>
      <c r="E62" t="s">
        <v>220</v>
      </c>
      <c r="O62" t="s">
        <v>45</v>
      </c>
      <c r="P62" t="s">
        <v>46</v>
      </c>
      <c r="Q62" t="s">
        <v>51</v>
      </c>
      <c r="T62" s="8">
        <v>50</v>
      </c>
      <c r="V62" t="s">
        <v>221</v>
      </c>
      <c r="W62" s="8">
        <v>90.501599999999996</v>
      </c>
      <c r="X62">
        <v>39131708</v>
      </c>
      <c r="Y62" s="8">
        <v>90.501599999999996</v>
      </c>
      <c r="Z62">
        <v>39131708</v>
      </c>
      <c r="AA62" s="8">
        <v>90.501599999999996</v>
      </c>
      <c r="AB62" t="b">
        <f t="shared" si="0"/>
        <v>0</v>
      </c>
    </row>
    <row r="63" spans="1:28" x14ac:dyDescent="0.3">
      <c r="A63">
        <v>897072</v>
      </c>
      <c r="B63" t="s">
        <v>222</v>
      </c>
      <c r="C63" t="s">
        <v>223</v>
      </c>
      <c r="D63" t="s">
        <v>224</v>
      </c>
      <c r="E63" t="s">
        <v>225</v>
      </c>
      <c r="F63">
        <v>78500704864</v>
      </c>
      <c r="G63">
        <v>341031</v>
      </c>
      <c r="H63" t="s">
        <v>226</v>
      </c>
      <c r="I63" t="s">
        <v>227</v>
      </c>
      <c r="J63" s="5">
        <v>785007048643</v>
      </c>
      <c r="K63">
        <v>39121406</v>
      </c>
      <c r="L63" t="s">
        <v>225</v>
      </c>
      <c r="M63">
        <v>265943</v>
      </c>
      <c r="N63" t="s">
        <v>228</v>
      </c>
      <c r="O63" t="s">
        <v>227</v>
      </c>
      <c r="P63" t="s">
        <v>223</v>
      </c>
      <c r="Q63" t="s">
        <v>40</v>
      </c>
      <c r="R63" s="9">
        <v>0.99489867098193097</v>
      </c>
      <c r="S63" s="8">
        <v>100</v>
      </c>
      <c r="T63" s="8">
        <v>100</v>
      </c>
      <c r="U63" s="8">
        <v>100</v>
      </c>
      <c r="V63" t="s">
        <v>227</v>
      </c>
      <c r="W63" s="9">
        <v>99.492465999999993</v>
      </c>
      <c r="X63">
        <v>39121406</v>
      </c>
      <c r="Y63" s="9">
        <v>99.492465999999993</v>
      </c>
      <c r="Z63">
        <v>39121406</v>
      </c>
      <c r="AA63" s="9">
        <v>99.492465999999993</v>
      </c>
      <c r="AB63" t="b">
        <f t="shared" si="0"/>
        <v>0</v>
      </c>
    </row>
    <row r="64" spans="1:28" x14ac:dyDescent="0.3">
      <c r="A64">
        <v>897073</v>
      </c>
      <c r="B64" t="s">
        <v>229</v>
      </c>
      <c r="C64" t="s">
        <v>230</v>
      </c>
      <c r="D64" t="s">
        <v>231</v>
      </c>
      <c r="E64" t="s">
        <v>232</v>
      </c>
      <c r="F64">
        <v>1899750800</v>
      </c>
      <c r="X64">
        <v>39131718</v>
      </c>
      <c r="Y64" s="8">
        <v>77.372919999999993</v>
      </c>
      <c r="Z64">
        <v>39131718</v>
      </c>
      <c r="AA64" s="8">
        <v>77.372919999999993</v>
      </c>
      <c r="AB64" t="b">
        <f t="shared" si="0"/>
        <v>0</v>
      </c>
    </row>
    <row r="65" spans="1:28" x14ac:dyDescent="0.3">
      <c r="A65">
        <v>897074</v>
      </c>
      <c r="B65" t="s">
        <v>233</v>
      </c>
      <c r="C65" t="s">
        <v>234</v>
      </c>
      <c r="D65" t="s">
        <v>235</v>
      </c>
      <c r="X65">
        <v>39121524</v>
      </c>
      <c r="Y65" s="8">
        <v>84.432834</v>
      </c>
      <c r="Z65">
        <v>39121524</v>
      </c>
      <c r="AA65" s="8">
        <v>84.432834</v>
      </c>
      <c r="AB65" t="b">
        <f t="shared" si="0"/>
        <v>0</v>
      </c>
    </row>
    <row r="66" spans="1:28" x14ac:dyDescent="0.3">
      <c r="A66">
        <v>897075</v>
      </c>
      <c r="B66" t="s">
        <v>236</v>
      </c>
      <c r="C66" t="s">
        <v>237</v>
      </c>
      <c r="D66" t="s">
        <v>238</v>
      </c>
      <c r="O66" t="s">
        <v>239</v>
      </c>
      <c r="P66" t="s">
        <v>237</v>
      </c>
      <c r="Q66" t="s">
        <v>40</v>
      </c>
      <c r="T66" s="8">
        <v>100</v>
      </c>
      <c r="AB66" t="b">
        <f t="shared" si="0"/>
        <v>0</v>
      </c>
    </row>
    <row r="67" spans="1:28" x14ac:dyDescent="0.3">
      <c r="A67">
        <v>897076</v>
      </c>
      <c r="B67" t="s">
        <v>236</v>
      </c>
      <c r="C67" t="s">
        <v>237</v>
      </c>
      <c r="D67" t="s">
        <v>238</v>
      </c>
      <c r="O67" t="s">
        <v>239</v>
      </c>
      <c r="P67" t="s">
        <v>237</v>
      </c>
      <c r="Q67" t="s">
        <v>40</v>
      </c>
      <c r="T67" s="8">
        <v>100</v>
      </c>
      <c r="AB67" t="b">
        <f t="shared" ref="AB67:AB130" si="1">(AA67-Y67)&lt;-1</f>
        <v>0</v>
      </c>
    </row>
    <row r="68" spans="1:28" ht="72" x14ac:dyDescent="0.3">
      <c r="A68">
        <v>897077</v>
      </c>
      <c r="B68" s="2" t="s">
        <v>240</v>
      </c>
      <c r="C68" t="s">
        <v>237</v>
      </c>
      <c r="D68" t="s">
        <v>241</v>
      </c>
      <c r="O68" t="s">
        <v>239</v>
      </c>
      <c r="P68" t="s">
        <v>237</v>
      </c>
      <c r="Q68" t="s">
        <v>51</v>
      </c>
      <c r="T68" s="8">
        <v>50</v>
      </c>
      <c r="AB68" t="b">
        <f t="shared" si="1"/>
        <v>0</v>
      </c>
    </row>
    <row r="69" spans="1:28" ht="72" x14ac:dyDescent="0.3">
      <c r="A69">
        <v>897078</v>
      </c>
      <c r="B69" s="2" t="s">
        <v>242</v>
      </c>
      <c r="C69" t="s">
        <v>237</v>
      </c>
      <c r="D69" t="s">
        <v>243</v>
      </c>
      <c r="O69" t="s">
        <v>239</v>
      </c>
      <c r="P69" t="s">
        <v>237</v>
      </c>
      <c r="Q69" t="s">
        <v>40</v>
      </c>
      <c r="T69" s="8">
        <v>100</v>
      </c>
      <c r="AB69" t="b">
        <f t="shared" si="1"/>
        <v>0</v>
      </c>
    </row>
    <row r="70" spans="1:28" ht="72" x14ac:dyDescent="0.3">
      <c r="A70">
        <v>897079</v>
      </c>
      <c r="B70" s="2" t="s">
        <v>244</v>
      </c>
      <c r="C70" t="s">
        <v>237</v>
      </c>
      <c r="D70" t="s">
        <v>245</v>
      </c>
      <c r="O70" t="s">
        <v>239</v>
      </c>
      <c r="P70" t="s">
        <v>237</v>
      </c>
      <c r="Q70" t="s">
        <v>40</v>
      </c>
      <c r="T70" s="8">
        <v>100</v>
      </c>
      <c r="AB70" t="b">
        <f t="shared" si="1"/>
        <v>0</v>
      </c>
    </row>
    <row r="71" spans="1:28" ht="72" x14ac:dyDescent="0.3">
      <c r="A71">
        <v>897080</v>
      </c>
      <c r="B71" s="2" t="s">
        <v>246</v>
      </c>
      <c r="C71" t="s">
        <v>237</v>
      </c>
      <c r="D71" t="s">
        <v>247</v>
      </c>
      <c r="O71" t="s">
        <v>239</v>
      </c>
      <c r="P71" t="s">
        <v>237</v>
      </c>
      <c r="Q71" t="s">
        <v>40</v>
      </c>
      <c r="T71" s="8">
        <v>100</v>
      </c>
      <c r="AB71" t="b">
        <f t="shared" si="1"/>
        <v>0</v>
      </c>
    </row>
    <row r="72" spans="1:28" ht="57.6" x14ac:dyDescent="0.3">
      <c r="A72">
        <v>897081</v>
      </c>
      <c r="B72" s="2" t="s">
        <v>248</v>
      </c>
      <c r="C72" t="s">
        <v>237</v>
      </c>
      <c r="D72" t="s">
        <v>249</v>
      </c>
      <c r="G72">
        <v>277303</v>
      </c>
      <c r="H72">
        <v>54058</v>
      </c>
      <c r="I72" t="s">
        <v>250</v>
      </c>
      <c r="J72" s="6" t="s">
        <v>251</v>
      </c>
      <c r="K72">
        <v>27112700</v>
      </c>
      <c r="M72">
        <v>81795</v>
      </c>
      <c r="N72" t="s">
        <v>252</v>
      </c>
      <c r="O72" t="s">
        <v>250</v>
      </c>
      <c r="Q72" t="s">
        <v>75</v>
      </c>
      <c r="R72" s="9">
        <v>0.42042715740858799</v>
      </c>
      <c r="S72" s="9">
        <v>30.320484491955799</v>
      </c>
      <c r="T72" s="9">
        <v>17.504422339934099</v>
      </c>
      <c r="U72" s="8">
        <v>0</v>
      </c>
      <c r="AB72" t="b">
        <f t="shared" si="1"/>
        <v>0</v>
      </c>
    </row>
    <row r="73" spans="1:28" ht="43.2" x14ac:dyDescent="0.3">
      <c r="A73">
        <v>897082</v>
      </c>
      <c r="B73" s="2" t="s">
        <v>253</v>
      </c>
      <c r="C73" t="s">
        <v>237</v>
      </c>
      <c r="D73" t="s">
        <v>254</v>
      </c>
      <c r="O73" t="s">
        <v>239</v>
      </c>
      <c r="P73" t="s">
        <v>237</v>
      </c>
      <c r="Q73" t="s">
        <v>40</v>
      </c>
      <c r="T73" s="8">
        <v>100</v>
      </c>
      <c r="AB73" t="b">
        <f t="shared" si="1"/>
        <v>0</v>
      </c>
    </row>
    <row r="74" spans="1:28" x14ac:dyDescent="0.3">
      <c r="A74">
        <v>897083</v>
      </c>
      <c r="B74" t="s">
        <v>255</v>
      </c>
      <c r="C74" t="s">
        <v>237</v>
      </c>
      <c r="D74" t="s">
        <v>256</v>
      </c>
      <c r="E74" t="s">
        <v>257</v>
      </c>
      <c r="O74" t="s">
        <v>239</v>
      </c>
      <c r="P74" t="s">
        <v>237</v>
      </c>
      <c r="Q74" t="s">
        <v>40</v>
      </c>
      <c r="T74" s="8">
        <v>100</v>
      </c>
      <c r="AB74" t="b">
        <f t="shared" si="1"/>
        <v>0</v>
      </c>
    </row>
    <row r="75" spans="1:28" x14ac:dyDescent="0.3">
      <c r="A75">
        <v>897084</v>
      </c>
      <c r="B75" t="s">
        <v>258</v>
      </c>
      <c r="C75" t="s">
        <v>259</v>
      </c>
      <c r="O75" t="s">
        <v>260</v>
      </c>
      <c r="P75" t="s">
        <v>260</v>
      </c>
      <c r="Q75" t="s">
        <v>40</v>
      </c>
      <c r="T75" s="8">
        <v>95</v>
      </c>
      <c r="AB75" t="b">
        <f t="shared" si="1"/>
        <v>0</v>
      </c>
    </row>
    <row r="76" spans="1:28" x14ac:dyDescent="0.3">
      <c r="A76">
        <v>897085</v>
      </c>
      <c r="B76" t="s">
        <v>261</v>
      </c>
      <c r="C76" t="s">
        <v>146</v>
      </c>
      <c r="D76">
        <v>30283</v>
      </c>
      <c r="G76">
        <v>172067</v>
      </c>
      <c r="H76">
        <v>30283</v>
      </c>
      <c r="I76" t="s">
        <v>146</v>
      </c>
      <c r="J76" s="6" t="s">
        <v>262</v>
      </c>
      <c r="K76">
        <v>39121304</v>
      </c>
      <c r="M76">
        <v>36550</v>
      </c>
      <c r="N76" t="s">
        <v>263</v>
      </c>
      <c r="O76" t="s">
        <v>146</v>
      </c>
      <c r="P76" t="s">
        <v>146</v>
      </c>
      <c r="Q76" t="s">
        <v>40</v>
      </c>
      <c r="R76" s="9">
        <v>0.74734486282620904</v>
      </c>
      <c r="S76" s="9">
        <v>89.867243141310396</v>
      </c>
      <c r="T76" s="8">
        <v>100</v>
      </c>
      <c r="U76" s="9">
        <v>85.468972565241799</v>
      </c>
      <c r="V76" t="s">
        <v>146</v>
      </c>
      <c r="W76" s="8">
        <v>86.842280000000002</v>
      </c>
      <c r="X76">
        <v>39121304</v>
      </c>
      <c r="Y76" s="8">
        <v>86.842280000000002</v>
      </c>
      <c r="Z76">
        <v>39121304</v>
      </c>
      <c r="AA76" s="8">
        <v>86.842280000000002</v>
      </c>
      <c r="AB76" t="b">
        <f t="shared" si="1"/>
        <v>0</v>
      </c>
    </row>
    <row r="77" spans="1:28" x14ac:dyDescent="0.3">
      <c r="A77">
        <v>897086</v>
      </c>
      <c r="B77" t="s">
        <v>264</v>
      </c>
      <c r="C77" t="s">
        <v>265</v>
      </c>
      <c r="D77" t="s">
        <v>266</v>
      </c>
      <c r="G77">
        <v>336109</v>
      </c>
      <c r="H77" t="s">
        <v>267</v>
      </c>
      <c r="I77" t="s">
        <v>73</v>
      </c>
      <c r="J77" s="5">
        <v>783310176114</v>
      </c>
      <c r="K77">
        <v>27112800</v>
      </c>
      <c r="L77" t="s">
        <v>268</v>
      </c>
      <c r="M77">
        <v>259137</v>
      </c>
      <c r="N77" t="s">
        <v>269</v>
      </c>
      <c r="O77" t="s">
        <v>73</v>
      </c>
      <c r="P77" t="s">
        <v>265</v>
      </c>
      <c r="Q77" t="s">
        <v>40</v>
      </c>
      <c r="R77" s="9">
        <v>0.910633172210775</v>
      </c>
      <c r="S77" s="8">
        <v>100</v>
      </c>
      <c r="T77" s="8">
        <v>100</v>
      </c>
      <c r="U77" s="8">
        <v>100</v>
      </c>
      <c r="V77" t="s">
        <v>73</v>
      </c>
      <c r="W77" s="9">
        <v>91.796445999999904</v>
      </c>
      <c r="X77">
        <v>27112800</v>
      </c>
      <c r="Y77" s="9">
        <v>91.796445999999904</v>
      </c>
      <c r="Z77">
        <v>27112800</v>
      </c>
      <c r="AA77" s="8">
        <v>91.5735375</v>
      </c>
      <c r="AB77" t="b">
        <f t="shared" si="1"/>
        <v>0</v>
      </c>
    </row>
    <row r="78" spans="1:28" x14ac:dyDescent="0.3">
      <c r="A78">
        <v>897087</v>
      </c>
      <c r="B78" t="s">
        <v>270</v>
      </c>
      <c r="C78" t="s">
        <v>265</v>
      </c>
      <c r="D78" t="s">
        <v>271</v>
      </c>
      <c r="G78">
        <v>336423</v>
      </c>
      <c r="H78" t="s">
        <v>272</v>
      </c>
      <c r="I78" t="s">
        <v>73</v>
      </c>
      <c r="J78" s="5">
        <v>783310176121</v>
      </c>
      <c r="K78">
        <v>27112800</v>
      </c>
      <c r="L78" t="s">
        <v>273</v>
      </c>
      <c r="M78">
        <v>259139</v>
      </c>
      <c r="N78" t="s">
        <v>274</v>
      </c>
      <c r="O78" t="s">
        <v>73</v>
      </c>
      <c r="P78" t="s">
        <v>265</v>
      </c>
      <c r="Q78" t="s">
        <v>40</v>
      </c>
      <c r="R78" s="9">
        <v>0.92145616492541504</v>
      </c>
      <c r="S78" s="8">
        <v>100</v>
      </c>
      <c r="T78" s="8">
        <v>100</v>
      </c>
      <c r="U78" s="8">
        <v>100</v>
      </c>
      <c r="V78" t="s">
        <v>73</v>
      </c>
      <c r="W78" s="8">
        <v>92.717600000000004</v>
      </c>
      <c r="X78">
        <v>27112800</v>
      </c>
      <c r="Y78" s="8">
        <v>92.717600000000004</v>
      </c>
      <c r="Z78">
        <v>27112800</v>
      </c>
      <c r="AA78" s="9">
        <v>92.268774999999906</v>
      </c>
      <c r="AB78" t="b">
        <f t="shared" si="1"/>
        <v>0</v>
      </c>
    </row>
    <row r="79" spans="1:28" x14ac:dyDescent="0.3">
      <c r="A79">
        <v>897088</v>
      </c>
      <c r="B79" t="s">
        <v>275</v>
      </c>
      <c r="C79" t="s">
        <v>276</v>
      </c>
      <c r="D79" t="s">
        <v>277</v>
      </c>
      <c r="O79" t="s">
        <v>45</v>
      </c>
      <c r="P79" t="s">
        <v>276</v>
      </c>
      <c r="Q79" t="s">
        <v>40</v>
      </c>
      <c r="T79" s="8">
        <v>100</v>
      </c>
      <c r="AB79" t="b">
        <f t="shared" si="1"/>
        <v>0</v>
      </c>
    </row>
    <row r="80" spans="1:28" x14ac:dyDescent="0.3">
      <c r="A80">
        <v>897089</v>
      </c>
      <c r="B80" t="s">
        <v>278</v>
      </c>
      <c r="C80" t="s">
        <v>279</v>
      </c>
      <c r="D80" t="s">
        <v>280</v>
      </c>
      <c r="O80" t="s">
        <v>45</v>
      </c>
      <c r="P80" t="s">
        <v>279</v>
      </c>
      <c r="Q80" t="s">
        <v>40</v>
      </c>
      <c r="T80" s="8">
        <v>100</v>
      </c>
      <c r="X80">
        <v>31162900</v>
      </c>
      <c r="Y80" s="8">
        <v>50.597636000000001</v>
      </c>
      <c r="Z80">
        <v>31162900</v>
      </c>
      <c r="AA80" s="8">
        <v>50.597636000000001</v>
      </c>
      <c r="AB80" t="b">
        <f t="shared" si="1"/>
        <v>0</v>
      </c>
    </row>
    <row r="81" spans="1:28" x14ac:dyDescent="0.3">
      <c r="A81">
        <v>897090</v>
      </c>
      <c r="B81" t="s">
        <v>281</v>
      </c>
      <c r="C81" t="s">
        <v>279</v>
      </c>
      <c r="D81" t="s">
        <v>282</v>
      </c>
      <c r="O81" t="s">
        <v>45</v>
      </c>
      <c r="P81" t="s">
        <v>279</v>
      </c>
      <c r="Q81" t="s">
        <v>40</v>
      </c>
      <c r="T81" s="8">
        <v>100</v>
      </c>
      <c r="X81">
        <v>31162900</v>
      </c>
      <c r="Y81" s="8">
        <v>75.914484000000002</v>
      </c>
      <c r="Z81">
        <v>31162900</v>
      </c>
      <c r="AA81" s="8">
        <v>75.917006000000001</v>
      </c>
      <c r="AB81" t="b">
        <f t="shared" si="1"/>
        <v>0</v>
      </c>
    </row>
    <row r="82" spans="1:28" x14ac:dyDescent="0.3">
      <c r="A82">
        <v>897091</v>
      </c>
      <c r="B82" t="s">
        <v>283</v>
      </c>
      <c r="C82" t="s">
        <v>284</v>
      </c>
      <c r="D82">
        <v>323</v>
      </c>
      <c r="E82" t="s">
        <v>285</v>
      </c>
      <c r="O82" t="s">
        <v>286</v>
      </c>
      <c r="P82" t="s">
        <v>284</v>
      </c>
      <c r="Q82" t="s">
        <v>40</v>
      </c>
      <c r="T82" s="8">
        <v>100</v>
      </c>
      <c r="V82" t="s">
        <v>286</v>
      </c>
      <c r="W82" s="9">
        <v>87.953509999999994</v>
      </c>
      <c r="X82">
        <v>39121312</v>
      </c>
      <c r="Y82" s="9">
        <v>78.180897777777702</v>
      </c>
      <c r="Z82">
        <v>39121312</v>
      </c>
      <c r="AA82" s="9">
        <v>78.180897777777702</v>
      </c>
      <c r="AB82" t="b">
        <f t="shared" si="1"/>
        <v>0</v>
      </c>
    </row>
    <row r="83" spans="1:28" x14ac:dyDescent="0.3">
      <c r="A83">
        <v>897092</v>
      </c>
      <c r="B83" t="s">
        <v>287</v>
      </c>
      <c r="C83" t="s">
        <v>288</v>
      </c>
      <c r="D83" t="s">
        <v>289</v>
      </c>
      <c r="E83" t="s">
        <v>103</v>
      </c>
      <c r="G83">
        <v>335696</v>
      </c>
      <c r="H83" t="s">
        <v>290</v>
      </c>
      <c r="I83" t="s">
        <v>104</v>
      </c>
      <c r="J83" s="5">
        <v>781011213305</v>
      </c>
      <c r="K83">
        <v>30101804</v>
      </c>
      <c r="L83" t="s">
        <v>103</v>
      </c>
      <c r="M83">
        <v>269371</v>
      </c>
      <c r="N83" t="s">
        <v>291</v>
      </c>
      <c r="O83" t="s">
        <v>48</v>
      </c>
      <c r="P83" t="s">
        <v>288</v>
      </c>
      <c r="Q83" t="s">
        <v>40</v>
      </c>
      <c r="R83" s="9">
        <v>0.91102880660337904</v>
      </c>
      <c r="S83" s="8">
        <v>100</v>
      </c>
      <c r="T83" s="8">
        <v>100</v>
      </c>
      <c r="U83" s="8">
        <v>100</v>
      </c>
      <c r="V83" t="s">
        <v>104</v>
      </c>
      <c r="W83" s="9">
        <v>91.829799999999906</v>
      </c>
      <c r="X83">
        <v>30101804</v>
      </c>
      <c r="Y83" s="9">
        <v>91.829799999999906</v>
      </c>
      <c r="Z83">
        <v>30101804</v>
      </c>
      <c r="AA83" s="8">
        <v>91.127088499999999</v>
      </c>
      <c r="AB83" t="b">
        <f t="shared" si="1"/>
        <v>0</v>
      </c>
    </row>
    <row r="84" spans="1:28" x14ac:dyDescent="0.3">
      <c r="A84">
        <v>897093</v>
      </c>
      <c r="B84" t="s">
        <v>292</v>
      </c>
      <c r="C84" t="s">
        <v>293</v>
      </c>
      <c r="D84" t="s">
        <v>294</v>
      </c>
      <c r="E84" t="s">
        <v>295</v>
      </c>
      <c r="O84" t="s">
        <v>296</v>
      </c>
      <c r="P84" t="s">
        <v>293</v>
      </c>
      <c r="Q84" t="s">
        <v>51</v>
      </c>
      <c r="T84" s="8">
        <v>50</v>
      </c>
      <c r="X84">
        <v>39121434</v>
      </c>
      <c r="Y84" s="8">
        <v>49.631198400000002</v>
      </c>
      <c r="Z84">
        <v>39121434</v>
      </c>
      <c r="AA84" s="8">
        <v>49.631198400000002</v>
      </c>
      <c r="AB84" t="b">
        <f t="shared" si="1"/>
        <v>0</v>
      </c>
    </row>
    <row r="85" spans="1:28" x14ac:dyDescent="0.3">
      <c r="A85">
        <v>897094</v>
      </c>
      <c r="B85" t="s">
        <v>297</v>
      </c>
      <c r="C85" t="s">
        <v>279</v>
      </c>
      <c r="D85" t="s">
        <v>298</v>
      </c>
      <c r="E85" t="s">
        <v>299</v>
      </c>
      <c r="O85" t="s">
        <v>45</v>
      </c>
      <c r="P85" t="s">
        <v>279</v>
      </c>
      <c r="Q85" t="s">
        <v>40</v>
      </c>
      <c r="T85" s="8">
        <v>100</v>
      </c>
      <c r="X85">
        <v>39131706</v>
      </c>
      <c r="Y85" s="9">
        <v>57.812272499999899</v>
      </c>
      <c r="Z85">
        <v>39131706</v>
      </c>
      <c r="AA85" s="9">
        <v>57.811867499999998</v>
      </c>
      <c r="AB85" t="b">
        <f t="shared" si="1"/>
        <v>0</v>
      </c>
    </row>
    <row r="86" spans="1:28" x14ac:dyDescent="0.3">
      <c r="A86">
        <v>897095</v>
      </c>
      <c r="B86" t="s">
        <v>300</v>
      </c>
      <c r="C86" t="s">
        <v>301</v>
      </c>
      <c r="D86" t="s">
        <v>302</v>
      </c>
      <c r="E86" t="s">
        <v>303</v>
      </c>
      <c r="G86">
        <v>337544</v>
      </c>
      <c r="H86" t="s">
        <v>302</v>
      </c>
      <c r="I86" t="s">
        <v>304</v>
      </c>
      <c r="J86" s="5">
        <v>782856339762</v>
      </c>
      <c r="K86">
        <v>31162905</v>
      </c>
      <c r="L86" t="s">
        <v>303</v>
      </c>
      <c r="M86">
        <v>270305</v>
      </c>
      <c r="N86" t="s">
        <v>305</v>
      </c>
      <c r="O86" t="s">
        <v>304</v>
      </c>
      <c r="P86" t="s">
        <v>301</v>
      </c>
      <c r="Q86" t="s">
        <v>40</v>
      </c>
      <c r="R86" s="9">
        <v>0.96280059778078197</v>
      </c>
      <c r="S86" s="8">
        <v>100</v>
      </c>
      <c r="T86" s="8">
        <v>100</v>
      </c>
      <c r="U86" s="8">
        <v>100</v>
      </c>
      <c r="V86" t="s">
        <v>304</v>
      </c>
      <c r="W86" s="8">
        <v>96.413489999999996</v>
      </c>
      <c r="X86">
        <v>31162905</v>
      </c>
      <c r="Y86" s="8">
        <v>96.413489999999996</v>
      </c>
      <c r="Z86">
        <v>31162905</v>
      </c>
      <c r="AA86" s="8">
        <v>96.413489999999996</v>
      </c>
      <c r="AB86" t="b">
        <f t="shared" si="1"/>
        <v>0</v>
      </c>
    </row>
    <row r="87" spans="1:28" x14ac:dyDescent="0.3">
      <c r="A87">
        <v>897096</v>
      </c>
      <c r="B87" t="s">
        <v>306</v>
      </c>
      <c r="C87" t="s">
        <v>293</v>
      </c>
      <c r="D87">
        <v>451</v>
      </c>
      <c r="E87" t="s">
        <v>307</v>
      </c>
      <c r="O87" t="s">
        <v>296</v>
      </c>
      <c r="P87" t="s">
        <v>293</v>
      </c>
      <c r="Q87" t="s">
        <v>51</v>
      </c>
      <c r="T87" s="8">
        <v>50</v>
      </c>
      <c r="V87" t="s">
        <v>308</v>
      </c>
      <c r="W87" s="9">
        <v>86.733989999999906</v>
      </c>
      <c r="X87">
        <v>39121434</v>
      </c>
      <c r="Y87" s="9">
        <v>52.040393999999999</v>
      </c>
      <c r="Z87">
        <v>39121434</v>
      </c>
      <c r="AA87" s="9">
        <v>52.040393999999999</v>
      </c>
      <c r="AB87" t="b">
        <f t="shared" si="1"/>
        <v>0</v>
      </c>
    </row>
    <row r="88" spans="1:28" x14ac:dyDescent="0.3">
      <c r="A88">
        <v>897097</v>
      </c>
      <c r="B88" t="s">
        <v>309</v>
      </c>
      <c r="C88" t="s">
        <v>310</v>
      </c>
      <c r="D88" t="s">
        <v>311</v>
      </c>
      <c r="E88" t="s">
        <v>312</v>
      </c>
      <c r="O88" t="s">
        <v>313</v>
      </c>
      <c r="P88" t="s">
        <v>310</v>
      </c>
      <c r="Q88" t="s">
        <v>51</v>
      </c>
      <c r="T88" s="8">
        <v>50</v>
      </c>
      <c r="X88">
        <v>26121614</v>
      </c>
      <c r="Y88" s="8">
        <v>79.011200000000002</v>
      </c>
      <c r="Z88">
        <v>26121614</v>
      </c>
      <c r="AA88" s="8">
        <v>79.011200000000002</v>
      </c>
      <c r="AB88" t="b">
        <f t="shared" si="1"/>
        <v>0</v>
      </c>
    </row>
    <row r="89" spans="1:28" x14ac:dyDescent="0.3">
      <c r="A89">
        <v>897098</v>
      </c>
      <c r="B89" t="s">
        <v>314</v>
      </c>
      <c r="C89" t="s">
        <v>279</v>
      </c>
      <c r="D89" t="s">
        <v>315</v>
      </c>
      <c r="E89" t="s">
        <v>44</v>
      </c>
      <c r="O89" t="s">
        <v>45</v>
      </c>
      <c r="P89" t="s">
        <v>279</v>
      </c>
      <c r="Q89" t="s">
        <v>40</v>
      </c>
      <c r="T89" s="8">
        <v>100</v>
      </c>
      <c r="X89">
        <v>39131708</v>
      </c>
      <c r="Y89" s="9">
        <v>61.340415999999898</v>
      </c>
      <c r="Z89">
        <v>39131708</v>
      </c>
      <c r="AA89" s="9">
        <v>61.340546399999901</v>
      </c>
      <c r="AB89" t="b">
        <f t="shared" si="1"/>
        <v>0</v>
      </c>
    </row>
    <row r="90" spans="1:28" x14ac:dyDescent="0.3">
      <c r="A90">
        <v>897099</v>
      </c>
      <c r="B90" t="s">
        <v>316</v>
      </c>
      <c r="C90" t="s">
        <v>317</v>
      </c>
      <c r="D90" t="s">
        <v>318</v>
      </c>
      <c r="E90" t="s">
        <v>319</v>
      </c>
      <c r="G90">
        <v>210681</v>
      </c>
      <c r="H90" t="s">
        <v>320</v>
      </c>
      <c r="I90" t="s">
        <v>321</v>
      </c>
      <c r="J90" s="5">
        <v>781002168652</v>
      </c>
      <c r="K90">
        <v>31161609</v>
      </c>
      <c r="M90">
        <v>209004</v>
      </c>
      <c r="N90" t="s">
        <v>322</v>
      </c>
      <c r="O90" t="s">
        <v>321</v>
      </c>
      <c r="P90" t="s">
        <v>323</v>
      </c>
      <c r="Q90" t="s">
        <v>40</v>
      </c>
      <c r="R90" s="9">
        <v>0.97770651580581702</v>
      </c>
      <c r="S90" s="8">
        <v>100</v>
      </c>
      <c r="T90" s="8">
        <v>100</v>
      </c>
      <c r="U90" s="8">
        <v>100</v>
      </c>
      <c r="V90" t="s">
        <v>321</v>
      </c>
      <c r="W90" s="8">
        <v>97.819280000000006</v>
      </c>
      <c r="X90">
        <v>31161609</v>
      </c>
      <c r="Y90" s="8">
        <v>97.819280000000006</v>
      </c>
      <c r="Z90">
        <v>31161609</v>
      </c>
      <c r="AA90" s="9">
        <v>97.819279999999907</v>
      </c>
      <c r="AB90" t="b">
        <f t="shared" si="1"/>
        <v>0</v>
      </c>
    </row>
    <row r="91" spans="1:28" x14ac:dyDescent="0.3">
      <c r="A91">
        <v>897100</v>
      </c>
      <c r="B91" t="s">
        <v>324</v>
      </c>
      <c r="C91" t="s">
        <v>293</v>
      </c>
      <c r="D91" t="s">
        <v>325</v>
      </c>
      <c r="E91" t="s">
        <v>326</v>
      </c>
      <c r="O91" t="s">
        <v>296</v>
      </c>
      <c r="P91" t="s">
        <v>293</v>
      </c>
      <c r="Q91" t="s">
        <v>40</v>
      </c>
      <c r="T91" s="8">
        <v>100</v>
      </c>
      <c r="X91">
        <v>39131708</v>
      </c>
      <c r="Y91" s="9">
        <v>82.211509999999905</v>
      </c>
      <c r="Z91">
        <v>39131708</v>
      </c>
      <c r="AA91" s="8">
        <v>82.205087000000006</v>
      </c>
      <c r="AB91" t="b">
        <f t="shared" si="1"/>
        <v>0</v>
      </c>
    </row>
    <row r="92" spans="1:28" x14ac:dyDescent="0.3">
      <c r="A92">
        <v>897101</v>
      </c>
      <c r="B92" t="s">
        <v>327</v>
      </c>
      <c r="C92" t="s">
        <v>293</v>
      </c>
      <c r="D92" t="s">
        <v>328</v>
      </c>
      <c r="E92" t="s">
        <v>329</v>
      </c>
      <c r="O92" t="s">
        <v>296</v>
      </c>
      <c r="P92" t="s">
        <v>293</v>
      </c>
      <c r="Q92" t="s">
        <v>51</v>
      </c>
      <c r="T92" s="8">
        <v>50</v>
      </c>
      <c r="X92">
        <v>39131700</v>
      </c>
      <c r="Y92" s="8">
        <v>84.179157000000004</v>
      </c>
      <c r="Z92">
        <v>39131700</v>
      </c>
      <c r="AA92" s="8">
        <v>84.179157000000004</v>
      </c>
      <c r="AB92" t="b">
        <f t="shared" si="1"/>
        <v>0</v>
      </c>
    </row>
    <row r="93" spans="1:28" x14ac:dyDescent="0.3">
      <c r="A93">
        <v>897102</v>
      </c>
      <c r="B93" t="s">
        <v>330</v>
      </c>
      <c r="C93" t="s">
        <v>284</v>
      </c>
      <c r="D93">
        <v>1061</v>
      </c>
      <c r="E93" t="s">
        <v>331</v>
      </c>
      <c r="O93" t="s">
        <v>286</v>
      </c>
      <c r="P93" t="s">
        <v>284</v>
      </c>
      <c r="Q93" t="s">
        <v>40</v>
      </c>
      <c r="T93" s="8">
        <v>100</v>
      </c>
      <c r="X93">
        <v>39120000</v>
      </c>
      <c r="Y93" s="8">
        <v>65.766568000000007</v>
      </c>
      <c r="Z93">
        <v>39120000</v>
      </c>
      <c r="AA93" s="8">
        <v>65.770373599999999</v>
      </c>
      <c r="AB93" t="b">
        <f t="shared" si="1"/>
        <v>0</v>
      </c>
    </row>
    <row r="94" spans="1:28" x14ac:dyDescent="0.3">
      <c r="A94">
        <v>897103</v>
      </c>
      <c r="B94" t="s">
        <v>332</v>
      </c>
      <c r="C94" t="s">
        <v>284</v>
      </c>
      <c r="D94" t="s">
        <v>333</v>
      </c>
      <c r="E94" t="s">
        <v>334</v>
      </c>
      <c r="G94">
        <v>335940</v>
      </c>
      <c r="H94" t="s">
        <v>335</v>
      </c>
      <c r="I94" t="s">
        <v>286</v>
      </c>
      <c r="J94" s="5">
        <v>781747154071</v>
      </c>
      <c r="K94">
        <v>39131700</v>
      </c>
      <c r="L94" t="s">
        <v>334</v>
      </c>
      <c r="M94">
        <v>270608</v>
      </c>
      <c r="N94" t="s">
        <v>336</v>
      </c>
      <c r="O94" t="s">
        <v>286</v>
      </c>
      <c r="P94" t="s">
        <v>284</v>
      </c>
      <c r="Q94" t="s">
        <v>40</v>
      </c>
      <c r="R94" s="9">
        <v>0.97084676744333998</v>
      </c>
      <c r="S94" s="8">
        <v>100</v>
      </c>
      <c r="T94" s="8">
        <v>100</v>
      </c>
      <c r="U94" s="8">
        <v>100</v>
      </c>
      <c r="V94" t="s">
        <v>286</v>
      </c>
      <c r="W94" s="9">
        <v>97.167269999999903</v>
      </c>
      <c r="X94">
        <v>39131700</v>
      </c>
      <c r="Y94" s="9">
        <v>97.167269999999903</v>
      </c>
      <c r="Z94">
        <v>39131700</v>
      </c>
      <c r="AA94" s="9">
        <v>97.167269999999903</v>
      </c>
      <c r="AB94" t="b">
        <f t="shared" si="1"/>
        <v>0</v>
      </c>
    </row>
    <row r="95" spans="1:28" x14ac:dyDescent="0.3">
      <c r="A95">
        <v>897104</v>
      </c>
      <c r="B95" t="s">
        <v>337</v>
      </c>
      <c r="C95" t="s">
        <v>288</v>
      </c>
      <c r="D95" t="s">
        <v>338</v>
      </c>
      <c r="O95" t="s">
        <v>48</v>
      </c>
      <c r="P95" t="s">
        <v>288</v>
      </c>
      <c r="Q95" t="s">
        <v>40</v>
      </c>
      <c r="T95" s="8">
        <v>100</v>
      </c>
      <c r="AB95" t="b">
        <f t="shared" si="1"/>
        <v>0</v>
      </c>
    </row>
    <row r="96" spans="1:28" x14ac:dyDescent="0.3">
      <c r="A96">
        <v>897105</v>
      </c>
      <c r="B96" t="s">
        <v>337</v>
      </c>
      <c r="C96" t="s">
        <v>288</v>
      </c>
      <c r="D96" t="s">
        <v>338</v>
      </c>
      <c r="O96" t="s">
        <v>48</v>
      </c>
      <c r="P96" t="s">
        <v>288</v>
      </c>
      <c r="Q96" t="s">
        <v>40</v>
      </c>
      <c r="T96" s="8">
        <v>100</v>
      </c>
      <c r="AB96" t="b">
        <f t="shared" si="1"/>
        <v>0</v>
      </c>
    </row>
    <row r="97" spans="1:28" x14ac:dyDescent="0.3">
      <c r="A97">
        <v>897106</v>
      </c>
      <c r="B97" t="s">
        <v>339</v>
      </c>
      <c r="C97" t="s">
        <v>340</v>
      </c>
      <c r="D97" t="s">
        <v>341</v>
      </c>
      <c r="E97" t="s">
        <v>342</v>
      </c>
      <c r="G97">
        <v>339164</v>
      </c>
      <c r="H97" t="s">
        <v>341</v>
      </c>
      <c r="I97" t="s">
        <v>343</v>
      </c>
      <c r="J97" s="5">
        <v>783510423803</v>
      </c>
      <c r="K97">
        <v>39121303</v>
      </c>
      <c r="L97" t="s">
        <v>342</v>
      </c>
      <c r="M97">
        <v>271308</v>
      </c>
      <c r="N97" t="s">
        <v>344</v>
      </c>
      <c r="O97" t="s">
        <v>343</v>
      </c>
      <c r="P97" t="s">
        <v>340</v>
      </c>
      <c r="Q97" t="s">
        <v>40</v>
      </c>
      <c r="R97" s="9">
        <v>0.9873674534704</v>
      </c>
      <c r="S97" s="8">
        <v>100</v>
      </c>
      <c r="T97" s="8">
        <v>100</v>
      </c>
      <c r="U97" s="8">
        <v>100</v>
      </c>
      <c r="V97" t="s">
        <v>343</v>
      </c>
      <c r="W97" s="9">
        <v>98.752519999999905</v>
      </c>
      <c r="X97">
        <v>39121303</v>
      </c>
      <c r="Y97" s="9">
        <v>98.752519999999905</v>
      </c>
      <c r="Z97">
        <v>39121303</v>
      </c>
      <c r="AA97" s="8">
        <v>98.752520000000004</v>
      </c>
      <c r="AB97" t="b">
        <f t="shared" si="1"/>
        <v>0</v>
      </c>
    </row>
    <row r="98" spans="1:28" x14ac:dyDescent="0.3">
      <c r="A98">
        <v>897107</v>
      </c>
      <c r="B98" t="s">
        <v>314</v>
      </c>
      <c r="C98" t="s">
        <v>279</v>
      </c>
      <c r="D98" t="s">
        <v>315</v>
      </c>
      <c r="E98" t="s">
        <v>44</v>
      </c>
      <c r="O98" t="s">
        <v>45</v>
      </c>
      <c r="P98" t="s">
        <v>279</v>
      </c>
      <c r="Q98" t="s">
        <v>40</v>
      </c>
      <c r="T98" s="8">
        <v>100</v>
      </c>
      <c r="X98">
        <v>39131708</v>
      </c>
      <c r="Y98" s="9">
        <v>61.340546399999901</v>
      </c>
      <c r="Z98">
        <v>39131708</v>
      </c>
      <c r="AA98" s="8">
        <v>61.335599999999999</v>
      </c>
      <c r="AB98" t="b">
        <f t="shared" si="1"/>
        <v>0</v>
      </c>
    </row>
    <row r="99" spans="1:28" x14ac:dyDescent="0.3">
      <c r="A99">
        <v>897108</v>
      </c>
      <c r="B99" t="s">
        <v>345</v>
      </c>
      <c r="C99" t="s">
        <v>293</v>
      </c>
      <c r="D99" t="s">
        <v>346</v>
      </c>
      <c r="E99" t="s">
        <v>347</v>
      </c>
      <c r="G99">
        <v>336547</v>
      </c>
      <c r="H99" t="s">
        <v>346</v>
      </c>
      <c r="I99" t="s">
        <v>308</v>
      </c>
      <c r="J99" s="5">
        <v>784564004574</v>
      </c>
      <c r="K99">
        <v>39121434</v>
      </c>
      <c r="L99" t="s">
        <v>347</v>
      </c>
      <c r="M99">
        <v>255264</v>
      </c>
      <c r="N99" t="s">
        <v>348</v>
      </c>
      <c r="O99" t="s">
        <v>308</v>
      </c>
      <c r="Q99" t="s">
        <v>75</v>
      </c>
      <c r="R99" s="9">
        <v>0.96561284940201297</v>
      </c>
      <c r="S99" s="9">
        <v>70.780642470100602</v>
      </c>
      <c r="T99" s="9">
        <v>22.780642470100599</v>
      </c>
      <c r="U99" s="9">
        <v>95.122569880402693</v>
      </c>
      <c r="V99" t="s">
        <v>308</v>
      </c>
      <c r="W99" s="8">
        <v>96.675605000000004</v>
      </c>
      <c r="X99">
        <v>39121434</v>
      </c>
      <c r="Y99" s="8">
        <v>96.675605000000004</v>
      </c>
      <c r="Z99">
        <v>39121434</v>
      </c>
      <c r="AA99" s="8">
        <v>96.673509999999993</v>
      </c>
      <c r="AB99" t="b">
        <f t="shared" si="1"/>
        <v>0</v>
      </c>
    </row>
    <row r="100" spans="1:28" x14ac:dyDescent="0.3">
      <c r="A100">
        <v>897109</v>
      </c>
      <c r="B100" t="s">
        <v>349</v>
      </c>
      <c r="C100" t="s">
        <v>293</v>
      </c>
      <c r="D100" t="s">
        <v>350</v>
      </c>
      <c r="E100" t="s">
        <v>351</v>
      </c>
      <c r="G100">
        <v>335783</v>
      </c>
      <c r="H100" t="s">
        <v>350</v>
      </c>
      <c r="I100" t="s">
        <v>308</v>
      </c>
      <c r="J100" s="5">
        <v>784564004475</v>
      </c>
      <c r="K100">
        <v>39131700</v>
      </c>
      <c r="L100" t="s">
        <v>351</v>
      </c>
      <c r="M100">
        <v>255292</v>
      </c>
      <c r="N100" t="s">
        <v>352</v>
      </c>
      <c r="O100" t="s">
        <v>308</v>
      </c>
      <c r="Q100" t="s">
        <v>75</v>
      </c>
      <c r="R100" s="9">
        <v>0.96495198315142205</v>
      </c>
      <c r="S100" s="9">
        <v>65.747599157571102</v>
      </c>
      <c r="T100" s="9">
        <v>19.747599157571099</v>
      </c>
      <c r="U100" s="8">
        <v>91.990396630284494</v>
      </c>
      <c r="V100" t="s">
        <v>308</v>
      </c>
      <c r="W100" s="9">
        <v>96.613879999999895</v>
      </c>
      <c r="X100">
        <v>39131700</v>
      </c>
      <c r="Y100" s="8">
        <v>96.613879999999995</v>
      </c>
      <c r="Z100">
        <v>39131700</v>
      </c>
      <c r="AA100" s="8">
        <v>96.613879999999995</v>
      </c>
      <c r="AB100" t="b">
        <f t="shared" si="1"/>
        <v>0</v>
      </c>
    </row>
    <row r="101" spans="1:28" x14ac:dyDescent="0.3">
      <c r="A101">
        <v>897110</v>
      </c>
      <c r="B101" t="s">
        <v>353</v>
      </c>
      <c r="C101" t="s">
        <v>310</v>
      </c>
      <c r="D101" t="s">
        <v>354</v>
      </c>
      <c r="E101" t="s">
        <v>355</v>
      </c>
      <c r="O101" t="s">
        <v>313</v>
      </c>
      <c r="P101" t="s">
        <v>310</v>
      </c>
      <c r="Q101" t="s">
        <v>40</v>
      </c>
      <c r="T101" s="8">
        <v>100</v>
      </c>
      <c r="X101">
        <v>26121614</v>
      </c>
      <c r="Y101" s="8">
        <v>78.482680000000002</v>
      </c>
      <c r="Z101">
        <v>26121614</v>
      </c>
      <c r="AA101" s="8">
        <v>78.482680000000002</v>
      </c>
      <c r="AB101" t="b">
        <f t="shared" si="1"/>
        <v>0</v>
      </c>
    </row>
    <row r="102" spans="1:28" x14ac:dyDescent="0.3">
      <c r="A102">
        <v>897111</v>
      </c>
      <c r="B102" t="s">
        <v>356</v>
      </c>
      <c r="C102" t="s">
        <v>310</v>
      </c>
      <c r="D102" t="s">
        <v>357</v>
      </c>
      <c r="E102" t="s">
        <v>358</v>
      </c>
      <c r="O102" t="s">
        <v>313</v>
      </c>
      <c r="P102" t="s">
        <v>310</v>
      </c>
      <c r="Q102" t="s">
        <v>40</v>
      </c>
      <c r="T102" s="8">
        <v>100</v>
      </c>
      <c r="X102">
        <v>26121614</v>
      </c>
      <c r="Y102" s="8">
        <v>79.391842999999994</v>
      </c>
      <c r="Z102">
        <v>26121614</v>
      </c>
      <c r="AA102" s="8">
        <v>79.391842999999994</v>
      </c>
      <c r="AB102" t="b">
        <f t="shared" si="1"/>
        <v>0</v>
      </c>
    </row>
    <row r="103" spans="1:28" x14ac:dyDescent="0.3">
      <c r="A103">
        <v>897112</v>
      </c>
      <c r="B103" t="s">
        <v>309</v>
      </c>
      <c r="C103" t="s">
        <v>310</v>
      </c>
      <c r="D103" t="s">
        <v>311</v>
      </c>
      <c r="E103" t="s">
        <v>312</v>
      </c>
      <c r="O103" t="s">
        <v>313</v>
      </c>
      <c r="P103" t="s">
        <v>310</v>
      </c>
      <c r="Q103" t="s">
        <v>51</v>
      </c>
      <c r="T103" s="8">
        <v>50</v>
      </c>
      <c r="X103">
        <v>26121614</v>
      </c>
      <c r="Y103" s="8">
        <v>79.011200000000002</v>
      </c>
      <c r="Z103">
        <v>26121614</v>
      </c>
      <c r="AA103" s="8">
        <v>79.011200000000002</v>
      </c>
      <c r="AB103" t="b">
        <f t="shared" si="1"/>
        <v>0</v>
      </c>
    </row>
    <row r="104" spans="1:28" x14ac:dyDescent="0.3">
      <c r="A104">
        <v>897113</v>
      </c>
      <c r="B104" t="s">
        <v>359</v>
      </c>
      <c r="C104" t="s">
        <v>279</v>
      </c>
      <c r="D104" t="s">
        <v>360</v>
      </c>
      <c r="E104" t="s">
        <v>361</v>
      </c>
      <c r="O104" t="s">
        <v>45</v>
      </c>
      <c r="P104" t="s">
        <v>279</v>
      </c>
      <c r="Q104" t="s">
        <v>40</v>
      </c>
      <c r="T104" s="8">
        <v>100</v>
      </c>
      <c r="AB104" t="b">
        <f t="shared" si="1"/>
        <v>0</v>
      </c>
    </row>
    <row r="105" spans="1:28" x14ac:dyDescent="0.3">
      <c r="A105">
        <v>897114</v>
      </c>
      <c r="B105" t="s">
        <v>362</v>
      </c>
      <c r="C105" t="s">
        <v>293</v>
      </c>
      <c r="D105" t="s">
        <v>363</v>
      </c>
      <c r="E105" t="s">
        <v>364</v>
      </c>
      <c r="G105">
        <v>95494</v>
      </c>
      <c r="H105" t="s">
        <v>363</v>
      </c>
      <c r="I105" t="s">
        <v>221</v>
      </c>
      <c r="J105" s="5">
        <v>784297323218</v>
      </c>
      <c r="K105">
        <v>39131708</v>
      </c>
      <c r="M105">
        <v>16461</v>
      </c>
      <c r="N105" t="s">
        <v>365</v>
      </c>
      <c r="O105" t="s">
        <v>221</v>
      </c>
      <c r="Q105" t="s">
        <v>75</v>
      </c>
      <c r="R105" s="9">
        <v>0.52103753618068605</v>
      </c>
      <c r="S105" s="9">
        <v>48.551876809034297</v>
      </c>
      <c r="T105" s="9">
        <v>24.551876809034301</v>
      </c>
      <c r="U105" s="9">
        <v>10.2075072361373</v>
      </c>
      <c r="V105" t="s">
        <v>308</v>
      </c>
      <c r="W105" s="8">
        <v>91.452753999999999</v>
      </c>
      <c r="X105">
        <v>39121420</v>
      </c>
      <c r="Y105" s="8">
        <v>54.871652400000002</v>
      </c>
      <c r="Z105">
        <v>39121420</v>
      </c>
      <c r="AA105" s="8">
        <v>54.871652400000002</v>
      </c>
      <c r="AB105" t="b">
        <f t="shared" si="1"/>
        <v>0</v>
      </c>
    </row>
    <row r="106" spans="1:28" x14ac:dyDescent="0.3">
      <c r="A106">
        <v>897115</v>
      </c>
      <c r="B106" t="s">
        <v>366</v>
      </c>
      <c r="C106" t="s">
        <v>293</v>
      </c>
      <c r="D106" t="s">
        <v>367</v>
      </c>
      <c r="E106" t="s">
        <v>368</v>
      </c>
      <c r="O106" t="s">
        <v>296</v>
      </c>
      <c r="P106" t="s">
        <v>293</v>
      </c>
      <c r="Q106" t="s">
        <v>40</v>
      </c>
      <c r="T106" s="8">
        <v>100</v>
      </c>
      <c r="V106" t="s">
        <v>308</v>
      </c>
      <c r="W106" s="9">
        <v>90.806539999999998</v>
      </c>
      <c r="X106">
        <v>39121420</v>
      </c>
      <c r="Y106" s="9">
        <v>90.806539999999998</v>
      </c>
      <c r="Z106">
        <v>39121420</v>
      </c>
      <c r="AA106" s="9">
        <v>90.437532499999904</v>
      </c>
      <c r="AB106" t="b">
        <f t="shared" si="1"/>
        <v>0</v>
      </c>
    </row>
    <row r="107" spans="1:28" x14ac:dyDescent="0.3">
      <c r="A107">
        <v>897117</v>
      </c>
      <c r="B107" t="s">
        <v>369</v>
      </c>
      <c r="C107" t="s">
        <v>370</v>
      </c>
      <c r="D107" t="s">
        <v>371</v>
      </c>
      <c r="O107" t="s">
        <v>313</v>
      </c>
      <c r="P107" t="s">
        <v>372</v>
      </c>
      <c r="Q107" t="s">
        <v>40</v>
      </c>
      <c r="T107" s="8">
        <v>100</v>
      </c>
      <c r="X107">
        <v>26121600</v>
      </c>
      <c r="Y107" s="8">
        <v>78.298085999999998</v>
      </c>
      <c r="Z107">
        <v>26121600</v>
      </c>
      <c r="AA107" s="9">
        <v>78.297924999999907</v>
      </c>
      <c r="AB107" t="b">
        <f t="shared" si="1"/>
        <v>0</v>
      </c>
    </row>
    <row r="108" spans="1:28" x14ac:dyDescent="0.3">
      <c r="A108">
        <v>897119</v>
      </c>
      <c r="B108" t="s">
        <v>373</v>
      </c>
      <c r="C108" t="s">
        <v>374</v>
      </c>
      <c r="D108" t="s">
        <v>375</v>
      </c>
      <c r="O108" t="s">
        <v>48</v>
      </c>
      <c r="P108" t="s">
        <v>288</v>
      </c>
      <c r="Q108" t="s">
        <v>40</v>
      </c>
      <c r="T108" s="8">
        <v>100</v>
      </c>
      <c r="AB108" t="b">
        <f t="shared" si="1"/>
        <v>0</v>
      </c>
    </row>
    <row r="109" spans="1:28" x14ac:dyDescent="0.3">
      <c r="A109">
        <v>897120</v>
      </c>
      <c r="B109" t="s">
        <v>376</v>
      </c>
      <c r="C109" t="s">
        <v>288</v>
      </c>
      <c r="D109" t="s">
        <v>377</v>
      </c>
      <c r="G109">
        <v>337122</v>
      </c>
      <c r="H109" t="s">
        <v>378</v>
      </c>
      <c r="I109" t="s">
        <v>104</v>
      </c>
      <c r="J109" s="5">
        <v>781011552831</v>
      </c>
      <c r="K109">
        <v>31162905</v>
      </c>
      <c r="L109" t="s">
        <v>379</v>
      </c>
      <c r="M109">
        <v>269099</v>
      </c>
      <c r="N109" t="s">
        <v>380</v>
      </c>
      <c r="O109" t="s">
        <v>48</v>
      </c>
      <c r="P109" t="s">
        <v>288</v>
      </c>
      <c r="Q109" t="s">
        <v>40</v>
      </c>
      <c r="R109" s="8">
        <v>0.86948636809850199</v>
      </c>
      <c r="S109" s="8">
        <v>100</v>
      </c>
      <c r="T109" s="8">
        <v>100</v>
      </c>
      <c r="U109" s="8">
        <v>100</v>
      </c>
      <c r="V109" t="s">
        <v>104</v>
      </c>
      <c r="W109" s="9">
        <v>88.744409999999903</v>
      </c>
      <c r="X109">
        <v>31162905</v>
      </c>
      <c r="Y109" s="9">
        <v>88.744409999999903</v>
      </c>
      <c r="Z109">
        <v>31162905</v>
      </c>
      <c r="AA109" s="9">
        <v>88.744409999999903</v>
      </c>
      <c r="AB109" t="b">
        <f t="shared" si="1"/>
        <v>0</v>
      </c>
    </row>
    <row r="110" spans="1:28" x14ac:dyDescent="0.3">
      <c r="A110">
        <v>897121</v>
      </c>
      <c r="B110" t="s">
        <v>381</v>
      </c>
      <c r="C110" t="s">
        <v>288</v>
      </c>
      <c r="D110" t="s">
        <v>137</v>
      </c>
      <c r="G110">
        <v>335848</v>
      </c>
      <c r="H110" t="s">
        <v>137</v>
      </c>
      <c r="I110" t="s">
        <v>104</v>
      </c>
      <c r="J110" s="5">
        <v>781011515935</v>
      </c>
      <c r="K110">
        <v>30101800</v>
      </c>
      <c r="L110" t="s">
        <v>136</v>
      </c>
      <c r="M110">
        <v>269122</v>
      </c>
      <c r="N110" t="s">
        <v>382</v>
      </c>
      <c r="O110" t="s">
        <v>48</v>
      </c>
      <c r="P110" t="s">
        <v>288</v>
      </c>
      <c r="Q110" t="s">
        <v>40</v>
      </c>
      <c r="R110" s="9">
        <v>0.949747810384859</v>
      </c>
      <c r="S110" s="8">
        <v>100</v>
      </c>
      <c r="T110" s="8">
        <v>100</v>
      </c>
      <c r="U110" s="8">
        <v>100</v>
      </c>
      <c r="V110" t="s">
        <v>104</v>
      </c>
      <c r="W110" s="8">
        <v>95.215225000000004</v>
      </c>
      <c r="X110">
        <v>30100000</v>
      </c>
      <c r="Y110" s="8">
        <v>76.172179999999997</v>
      </c>
      <c r="Z110">
        <v>30101800</v>
      </c>
      <c r="AA110" s="8">
        <v>95.212209999999999</v>
      </c>
      <c r="AB110" t="b">
        <f t="shared" si="1"/>
        <v>0</v>
      </c>
    </row>
    <row r="111" spans="1:28" x14ac:dyDescent="0.3">
      <c r="A111">
        <v>897122</v>
      </c>
      <c r="B111" t="s">
        <v>383</v>
      </c>
      <c r="C111" t="s">
        <v>288</v>
      </c>
      <c r="D111" t="s">
        <v>384</v>
      </c>
      <c r="G111">
        <v>335702</v>
      </c>
      <c r="H111" t="s">
        <v>384</v>
      </c>
      <c r="I111" t="s">
        <v>104</v>
      </c>
      <c r="J111" s="5">
        <v>781011403430</v>
      </c>
      <c r="K111">
        <v>31161708</v>
      </c>
      <c r="L111" t="s">
        <v>385</v>
      </c>
      <c r="M111">
        <v>269988</v>
      </c>
      <c r="N111" t="s">
        <v>386</v>
      </c>
      <c r="O111" t="s">
        <v>48</v>
      </c>
      <c r="P111" t="s">
        <v>288</v>
      </c>
      <c r="Q111" t="s">
        <v>40</v>
      </c>
      <c r="R111" s="9">
        <v>0.91704842547786702</v>
      </c>
      <c r="S111" s="8">
        <v>100</v>
      </c>
      <c r="T111" s="8">
        <v>100</v>
      </c>
      <c r="U111" s="8">
        <v>100</v>
      </c>
      <c r="V111" t="s">
        <v>104</v>
      </c>
      <c r="W111" s="8">
        <v>92.340239999999994</v>
      </c>
      <c r="X111">
        <v>31161708</v>
      </c>
      <c r="Y111" s="8">
        <v>92.340239999999994</v>
      </c>
      <c r="Z111">
        <v>31161708</v>
      </c>
      <c r="AA111" s="8">
        <v>92.338830000000002</v>
      </c>
      <c r="AB111" t="b">
        <f t="shared" si="1"/>
        <v>0</v>
      </c>
    </row>
    <row r="112" spans="1:28" x14ac:dyDescent="0.3">
      <c r="A112">
        <v>897123</v>
      </c>
      <c r="B112" t="s">
        <v>387</v>
      </c>
      <c r="C112" t="s">
        <v>388</v>
      </c>
      <c r="D112" t="s">
        <v>389</v>
      </c>
      <c r="E112" t="s">
        <v>390</v>
      </c>
      <c r="G112">
        <v>324326</v>
      </c>
      <c r="H112">
        <v>58025205</v>
      </c>
      <c r="I112" t="s">
        <v>221</v>
      </c>
      <c r="J112" s="6" t="s">
        <v>391</v>
      </c>
      <c r="K112">
        <v>26121614</v>
      </c>
      <c r="M112">
        <v>88599</v>
      </c>
      <c r="N112" t="s">
        <v>392</v>
      </c>
      <c r="O112" t="s">
        <v>221</v>
      </c>
      <c r="Q112" t="s">
        <v>75</v>
      </c>
      <c r="R112" s="9">
        <v>0.71667956194756399</v>
      </c>
      <c r="S112" s="9">
        <v>73.333978097378207</v>
      </c>
      <c r="T112" s="9">
        <v>43.3339780973782</v>
      </c>
      <c r="U112" s="8">
        <v>58.335912389512899</v>
      </c>
      <c r="X112">
        <v>26121614</v>
      </c>
      <c r="Y112" s="8">
        <v>77.92286</v>
      </c>
      <c r="Z112">
        <v>26121614</v>
      </c>
      <c r="AA112" s="8">
        <v>77.929753000000005</v>
      </c>
      <c r="AB112" t="b">
        <f t="shared" si="1"/>
        <v>0</v>
      </c>
    </row>
    <row r="113" spans="1:28" x14ac:dyDescent="0.3">
      <c r="A113">
        <v>897124</v>
      </c>
      <c r="B113" t="s">
        <v>393</v>
      </c>
      <c r="C113" t="s">
        <v>394</v>
      </c>
      <c r="D113" t="s">
        <v>395</v>
      </c>
      <c r="E113" t="s">
        <v>396</v>
      </c>
      <c r="G113">
        <v>339261</v>
      </c>
      <c r="H113" t="s">
        <v>395</v>
      </c>
      <c r="I113" t="s">
        <v>397</v>
      </c>
      <c r="J113" s="5">
        <v>783585235929</v>
      </c>
      <c r="K113">
        <v>39121406</v>
      </c>
      <c r="L113" t="s">
        <v>396</v>
      </c>
      <c r="M113">
        <v>260178</v>
      </c>
      <c r="N113" t="s">
        <v>398</v>
      </c>
      <c r="O113" t="s">
        <v>397</v>
      </c>
      <c r="Q113" t="s">
        <v>75</v>
      </c>
      <c r="R113" s="9">
        <v>0.95166161898418999</v>
      </c>
      <c r="S113" s="9">
        <v>22.382150964499601</v>
      </c>
      <c r="T113" s="9">
        <v>77.541540474604702</v>
      </c>
      <c r="U113" s="8">
        <v>100</v>
      </c>
      <c r="V113" t="s">
        <v>397</v>
      </c>
      <c r="W113" s="8">
        <v>95.389043999999998</v>
      </c>
      <c r="X113">
        <v>39121406</v>
      </c>
      <c r="Y113" s="8">
        <v>95.389043999999998</v>
      </c>
      <c r="Z113">
        <v>39121406</v>
      </c>
      <c r="AA113" s="8">
        <v>95.389043999999998</v>
      </c>
      <c r="AB113" t="b">
        <f t="shared" si="1"/>
        <v>0</v>
      </c>
    </row>
    <row r="114" spans="1:28" x14ac:dyDescent="0.3">
      <c r="A114">
        <v>897125</v>
      </c>
      <c r="B114" t="s">
        <v>399</v>
      </c>
      <c r="C114" t="s">
        <v>394</v>
      </c>
      <c r="D114" t="s">
        <v>400</v>
      </c>
      <c r="E114" t="s">
        <v>401</v>
      </c>
      <c r="G114">
        <v>338911</v>
      </c>
      <c r="H114" t="s">
        <v>400</v>
      </c>
      <c r="I114" t="s">
        <v>397</v>
      </c>
      <c r="J114" s="5">
        <v>783585235998</v>
      </c>
      <c r="K114">
        <v>39121406</v>
      </c>
      <c r="L114" t="s">
        <v>401</v>
      </c>
      <c r="M114">
        <v>260179</v>
      </c>
      <c r="N114" t="s">
        <v>402</v>
      </c>
      <c r="O114" t="s">
        <v>397</v>
      </c>
      <c r="Q114" t="s">
        <v>75</v>
      </c>
      <c r="R114" s="9">
        <v>0.96231162998340303</v>
      </c>
      <c r="S114" s="8">
        <v>20.876861694676698</v>
      </c>
      <c r="T114" s="9">
        <v>77.807790749584996</v>
      </c>
      <c r="U114" s="8">
        <v>100</v>
      </c>
      <c r="V114" t="s">
        <v>397</v>
      </c>
      <c r="W114" s="8">
        <v>96.368056999999993</v>
      </c>
      <c r="X114">
        <v>39121406</v>
      </c>
      <c r="Y114" s="8">
        <v>96.368056999999993</v>
      </c>
      <c r="Z114">
        <v>39121406</v>
      </c>
      <c r="AA114" s="8">
        <v>96.347976000000003</v>
      </c>
      <c r="AB114" t="b">
        <f t="shared" si="1"/>
        <v>0</v>
      </c>
    </row>
    <row r="115" spans="1:28" x14ac:dyDescent="0.3">
      <c r="A115">
        <v>897126</v>
      </c>
      <c r="B115" t="s">
        <v>403</v>
      </c>
      <c r="C115" t="s">
        <v>288</v>
      </c>
      <c r="D115" t="s">
        <v>404</v>
      </c>
      <c r="G115">
        <v>335855</v>
      </c>
      <c r="H115" t="s">
        <v>404</v>
      </c>
      <c r="I115" t="s">
        <v>104</v>
      </c>
      <c r="J115" s="5">
        <v>781011520137</v>
      </c>
      <c r="K115">
        <v>31161812</v>
      </c>
      <c r="L115" t="s">
        <v>405</v>
      </c>
      <c r="M115">
        <v>271508</v>
      </c>
      <c r="N115" t="s">
        <v>406</v>
      </c>
      <c r="O115" t="s">
        <v>48</v>
      </c>
      <c r="P115" t="s">
        <v>288</v>
      </c>
      <c r="Q115" t="s">
        <v>40</v>
      </c>
      <c r="R115" s="9">
        <v>0.90918289944712904</v>
      </c>
      <c r="S115" s="8">
        <v>100</v>
      </c>
      <c r="T115" s="8">
        <v>100</v>
      </c>
      <c r="U115" s="8">
        <v>100</v>
      </c>
      <c r="V115" t="s">
        <v>104</v>
      </c>
      <c r="W115" s="9">
        <v>91.674389999999903</v>
      </c>
      <c r="X115">
        <v>31161812</v>
      </c>
      <c r="Y115" s="9">
        <v>55.004633999999903</v>
      </c>
      <c r="Z115">
        <v>31161812</v>
      </c>
      <c r="AA115" s="9">
        <v>55.004633999999903</v>
      </c>
      <c r="AB115" t="b">
        <f t="shared" si="1"/>
        <v>0</v>
      </c>
    </row>
    <row r="116" spans="1:28" x14ac:dyDescent="0.3">
      <c r="A116">
        <v>897127</v>
      </c>
      <c r="B116" t="s">
        <v>407</v>
      </c>
      <c r="C116" t="s">
        <v>408</v>
      </c>
      <c r="D116" t="s">
        <v>409</v>
      </c>
      <c r="O116" t="s">
        <v>321</v>
      </c>
      <c r="P116" t="s">
        <v>408</v>
      </c>
      <c r="Q116" t="s">
        <v>40</v>
      </c>
      <c r="T116" s="8">
        <v>100</v>
      </c>
      <c r="V116" t="s">
        <v>321</v>
      </c>
      <c r="W116" s="9">
        <v>89.833795999999893</v>
      </c>
      <c r="X116">
        <v>31161823</v>
      </c>
      <c r="Y116" s="9">
        <v>89.833795999999893</v>
      </c>
      <c r="Z116">
        <v>31161823</v>
      </c>
      <c r="AA116" s="9">
        <v>89.833795999999893</v>
      </c>
      <c r="AB116" t="b">
        <f t="shared" si="1"/>
        <v>0</v>
      </c>
    </row>
    <row r="117" spans="1:28" x14ac:dyDescent="0.3">
      <c r="A117">
        <v>897128</v>
      </c>
      <c r="B117" t="s">
        <v>410</v>
      </c>
      <c r="C117" t="s">
        <v>411</v>
      </c>
      <c r="D117" t="s">
        <v>412</v>
      </c>
      <c r="E117" t="s">
        <v>413</v>
      </c>
      <c r="G117">
        <v>337427</v>
      </c>
      <c r="H117" t="s">
        <v>412</v>
      </c>
      <c r="I117" t="s">
        <v>414</v>
      </c>
      <c r="J117" s="5">
        <v>781810220979</v>
      </c>
      <c r="K117">
        <v>39121613</v>
      </c>
      <c r="L117" t="s">
        <v>413</v>
      </c>
      <c r="M117">
        <v>272895</v>
      </c>
      <c r="N117" t="s">
        <v>415</v>
      </c>
      <c r="O117" t="s">
        <v>414</v>
      </c>
      <c r="P117" t="s">
        <v>411</v>
      </c>
      <c r="Q117" t="s">
        <v>51</v>
      </c>
      <c r="R117" s="9">
        <v>0.94932811712070597</v>
      </c>
      <c r="S117" s="8">
        <v>100</v>
      </c>
      <c r="T117" s="9">
        <v>93.966405856035294</v>
      </c>
      <c r="U117" s="8">
        <v>100</v>
      </c>
      <c r="V117" t="s">
        <v>414</v>
      </c>
      <c r="W117" s="8">
        <v>95.177199999999999</v>
      </c>
      <c r="X117">
        <v>39121613</v>
      </c>
      <c r="Y117" s="9">
        <v>71.382899999999907</v>
      </c>
      <c r="Z117">
        <v>39121613</v>
      </c>
      <c r="AA117" s="9">
        <v>95.179706999999993</v>
      </c>
      <c r="AB117" t="b">
        <f t="shared" si="1"/>
        <v>0</v>
      </c>
    </row>
    <row r="118" spans="1:28" x14ac:dyDescent="0.3">
      <c r="A118">
        <v>897129</v>
      </c>
      <c r="B118" t="s">
        <v>416</v>
      </c>
      <c r="C118" t="s">
        <v>417</v>
      </c>
      <c r="D118" t="s">
        <v>418</v>
      </c>
      <c r="E118" t="s">
        <v>419</v>
      </c>
      <c r="G118">
        <v>335824</v>
      </c>
      <c r="H118" t="s">
        <v>418</v>
      </c>
      <c r="I118" t="s">
        <v>417</v>
      </c>
      <c r="J118" s="6" t="s">
        <v>420</v>
      </c>
      <c r="K118">
        <v>39131700</v>
      </c>
      <c r="L118" t="s">
        <v>419</v>
      </c>
      <c r="M118">
        <v>272415</v>
      </c>
      <c r="N118" t="s">
        <v>421</v>
      </c>
      <c r="O118" t="s">
        <v>417</v>
      </c>
      <c r="P118" t="s">
        <v>417</v>
      </c>
      <c r="Q118" t="s">
        <v>40</v>
      </c>
      <c r="R118" s="8">
        <v>0.88930159354542404</v>
      </c>
      <c r="S118" s="8">
        <v>100</v>
      </c>
      <c r="T118" s="8">
        <v>100</v>
      </c>
      <c r="U118" s="8">
        <v>100</v>
      </c>
      <c r="V118" t="s">
        <v>417</v>
      </c>
      <c r="W118" s="9">
        <v>90.033435999999995</v>
      </c>
      <c r="X118">
        <v>39131700</v>
      </c>
      <c r="Y118" s="8">
        <v>72.026748799999993</v>
      </c>
      <c r="Z118">
        <v>39131700</v>
      </c>
      <c r="AA118" s="8">
        <v>72.026748799999993</v>
      </c>
      <c r="AB118" t="b">
        <f t="shared" si="1"/>
        <v>0</v>
      </c>
    </row>
    <row r="119" spans="1:28" x14ac:dyDescent="0.3">
      <c r="A119">
        <v>897130</v>
      </c>
      <c r="B119" t="s">
        <v>422</v>
      </c>
      <c r="C119" t="s">
        <v>408</v>
      </c>
      <c r="D119" t="s">
        <v>423</v>
      </c>
      <c r="E119" t="s">
        <v>424</v>
      </c>
      <c r="O119" t="s">
        <v>321</v>
      </c>
      <c r="P119" t="s">
        <v>408</v>
      </c>
      <c r="Q119" t="s">
        <v>40</v>
      </c>
      <c r="T119" s="8">
        <v>100</v>
      </c>
      <c r="V119" t="s">
        <v>321</v>
      </c>
      <c r="W119" s="8">
        <v>94.230264000000005</v>
      </c>
      <c r="X119">
        <v>31162400</v>
      </c>
      <c r="Y119" s="8">
        <v>94.230264000000005</v>
      </c>
      <c r="Z119">
        <v>31162400</v>
      </c>
      <c r="AA119" s="8">
        <v>93.021145500000003</v>
      </c>
      <c r="AB119" t="b">
        <f t="shared" si="1"/>
        <v>1</v>
      </c>
    </row>
    <row r="120" spans="1:28" x14ac:dyDescent="0.3">
      <c r="A120">
        <v>897131</v>
      </c>
      <c r="B120" t="s">
        <v>425</v>
      </c>
      <c r="C120" t="s">
        <v>284</v>
      </c>
      <c r="D120" t="s">
        <v>426</v>
      </c>
      <c r="E120" t="s">
        <v>427</v>
      </c>
      <c r="G120">
        <v>335962</v>
      </c>
      <c r="H120" t="s">
        <v>428</v>
      </c>
      <c r="I120" t="s">
        <v>286</v>
      </c>
      <c r="J120" s="5">
        <v>781747158062</v>
      </c>
      <c r="K120">
        <v>39131700</v>
      </c>
      <c r="L120" t="s">
        <v>427</v>
      </c>
      <c r="M120">
        <v>270181</v>
      </c>
      <c r="N120" t="s">
        <v>429</v>
      </c>
      <c r="O120" t="s">
        <v>286</v>
      </c>
      <c r="P120" t="s">
        <v>284</v>
      </c>
      <c r="Q120" t="s">
        <v>40</v>
      </c>
      <c r="R120" s="8">
        <v>0.96666468149227802</v>
      </c>
      <c r="S120" s="8">
        <v>100</v>
      </c>
      <c r="T120" s="8">
        <v>100</v>
      </c>
      <c r="U120" s="8">
        <v>100</v>
      </c>
      <c r="V120" t="s">
        <v>286</v>
      </c>
      <c r="W120" s="9">
        <v>96.774019999999993</v>
      </c>
      <c r="X120">
        <v>39131700</v>
      </c>
      <c r="Y120" s="9">
        <v>96.774019999999993</v>
      </c>
      <c r="Z120">
        <v>39131700</v>
      </c>
      <c r="AA120" s="8">
        <v>96.774596000000003</v>
      </c>
      <c r="AB120" t="b">
        <f t="shared" si="1"/>
        <v>0</v>
      </c>
    </row>
    <row r="121" spans="1:28" x14ac:dyDescent="0.3">
      <c r="A121">
        <v>897132</v>
      </c>
      <c r="B121" t="s">
        <v>430</v>
      </c>
      <c r="C121" t="s">
        <v>293</v>
      </c>
      <c r="D121" t="s">
        <v>431</v>
      </c>
      <c r="E121" t="s">
        <v>432</v>
      </c>
      <c r="G121">
        <v>336387</v>
      </c>
      <c r="H121" t="s">
        <v>431</v>
      </c>
      <c r="I121" t="s">
        <v>308</v>
      </c>
      <c r="J121" s="5">
        <v>786189105124</v>
      </c>
      <c r="K121">
        <v>39121304</v>
      </c>
      <c r="L121" t="s">
        <v>432</v>
      </c>
      <c r="M121">
        <v>255770</v>
      </c>
      <c r="N121" t="s">
        <v>433</v>
      </c>
      <c r="O121" t="s">
        <v>308</v>
      </c>
      <c r="Q121" t="s">
        <v>75</v>
      </c>
      <c r="R121" s="9">
        <v>0.95428845788707795</v>
      </c>
      <c r="S121" s="9">
        <v>75.214422894353902</v>
      </c>
      <c r="T121" s="9">
        <v>49.214422894353902</v>
      </c>
      <c r="U121" s="9">
        <v>99.857691577415693</v>
      </c>
      <c r="V121" t="s">
        <v>308</v>
      </c>
      <c r="W121" s="8">
        <v>95.628690000000006</v>
      </c>
      <c r="X121">
        <v>39121304</v>
      </c>
      <c r="Y121" s="8">
        <v>95.628690000000006</v>
      </c>
      <c r="Z121">
        <v>39121304</v>
      </c>
      <c r="AA121" s="8">
        <v>95.628690000000006</v>
      </c>
      <c r="AB121" t="b">
        <f t="shared" si="1"/>
        <v>0</v>
      </c>
    </row>
    <row r="122" spans="1:28" x14ac:dyDescent="0.3">
      <c r="A122">
        <v>897133</v>
      </c>
      <c r="B122" t="s">
        <v>434</v>
      </c>
      <c r="C122" t="s">
        <v>435</v>
      </c>
      <c r="D122" t="s">
        <v>436</v>
      </c>
      <c r="E122" t="s">
        <v>437</v>
      </c>
      <c r="O122" t="s">
        <v>45</v>
      </c>
      <c r="P122" t="s">
        <v>279</v>
      </c>
      <c r="Q122" t="s">
        <v>40</v>
      </c>
      <c r="T122" s="8">
        <v>100</v>
      </c>
      <c r="X122">
        <v>39131706</v>
      </c>
      <c r="Y122" s="8">
        <v>56.957942250000002</v>
      </c>
      <c r="Z122">
        <v>39131706</v>
      </c>
      <c r="AA122" s="8">
        <v>56.957942250000002</v>
      </c>
      <c r="AB122" t="b">
        <f t="shared" si="1"/>
        <v>0</v>
      </c>
    </row>
    <row r="123" spans="1:28" x14ac:dyDescent="0.3">
      <c r="A123">
        <v>897134</v>
      </c>
      <c r="B123" t="s">
        <v>438</v>
      </c>
      <c r="C123" t="s">
        <v>439</v>
      </c>
      <c r="D123" t="s">
        <v>440</v>
      </c>
      <c r="E123" t="s">
        <v>441</v>
      </c>
      <c r="G123">
        <v>249853</v>
      </c>
      <c r="H123">
        <v>48284008</v>
      </c>
      <c r="I123" t="s">
        <v>164</v>
      </c>
      <c r="J123" s="6" t="s">
        <v>442</v>
      </c>
      <c r="K123">
        <v>27112800</v>
      </c>
      <c r="M123">
        <v>10288</v>
      </c>
      <c r="N123" t="s">
        <v>443</v>
      </c>
      <c r="O123" t="s">
        <v>164</v>
      </c>
      <c r="P123" t="s">
        <v>439</v>
      </c>
      <c r="Q123" t="s">
        <v>40</v>
      </c>
      <c r="R123" s="8">
        <v>0.87189486099482105</v>
      </c>
      <c r="S123" s="8">
        <v>100</v>
      </c>
      <c r="T123" s="8">
        <v>100</v>
      </c>
      <c r="U123" s="8">
        <v>100</v>
      </c>
      <c r="V123" t="s">
        <v>164</v>
      </c>
      <c r="W123" s="8">
        <v>94.280285000000006</v>
      </c>
      <c r="X123">
        <v>27112800</v>
      </c>
      <c r="Y123" s="8">
        <v>94.280285000000006</v>
      </c>
      <c r="Z123">
        <v>27112800</v>
      </c>
      <c r="AA123" s="8">
        <v>94.280285000000006</v>
      </c>
      <c r="AB123" t="b">
        <f t="shared" si="1"/>
        <v>0</v>
      </c>
    </row>
    <row r="124" spans="1:28" x14ac:dyDescent="0.3">
      <c r="A124">
        <v>897135</v>
      </c>
      <c r="B124" t="s">
        <v>444</v>
      </c>
      <c r="C124" t="s">
        <v>293</v>
      </c>
      <c r="D124">
        <v>511</v>
      </c>
      <c r="E124" t="s">
        <v>445</v>
      </c>
      <c r="O124" t="s">
        <v>296</v>
      </c>
      <c r="P124" t="s">
        <v>293</v>
      </c>
      <c r="Q124" t="s">
        <v>40</v>
      </c>
      <c r="T124" s="8">
        <v>100</v>
      </c>
      <c r="AB124" t="b">
        <f t="shared" si="1"/>
        <v>0</v>
      </c>
    </row>
    <row r="125" spans="1:28" x14ac:dyDescent="0.3">
      <c r="A125">
        <v>897136</v>
      </c>
      <c r="B125" t="s">
        <v>446</v>
      </c>
      <c r="C125" t="s">
        <v>447</v>
      </c>
      <c r="D125" t="s">
        <v>448</v>
      </c>
      <c r="E125" t="s">
        <v>449</v>
      </c>
      <c r="G125">
        <v>336131</v>
      </c>
      <c r="H125" t="s">
        <v>448</v>
      </c>
      <c r="I125" t="s">
        <v>450</v>
      </c>
      <c r="J125" s="6" t="s">
        <v>451</v>
      </c>
      <c r="K125">
        <v>39121304</v>
      </c>
      <c r="L125" t="s">
        <v>449</v>
      </c>
      <c r="M125">
        <v>269341</v>
      </c>
      <c r="N125" t="s">
        <v>452</v>
      </c>
      <c r="O125" t="s">
        <v>450</v>
      </c>
      <c r="P125" t="s">
        <v>447</v>
      </c>
      <c r="Q125" t="s">
        <v>51</v>
      </c>
      <c r="R125" s="9">
        <v>0.95972198777945295</v>
      </c>
      <c r="S125" s="8">
        <v>100</v>
      </c>
      <c r="T125" s="9">
        <v>85.486099388972605</v>
      </c>
      <c r="U125" s="8">
        <v>100</v>
      </c>
      <c r="V125" t="s">
        <v>450</v>
      </c>
      <c r="W125" s="9">
        <v>96.128153999999995</v>
      </c>
      <c r="X125">
        <v>39121304</v>
      </c>
      <c r="Y125" s="9">
        <v>96.128153999999995</v>
      </c>
      <c r="Z125">
        <v>39121304</v>
      </c>
      <c r="AA125" s="8">
        <v>96.147919999999999</v>
      </c>
      <c r="AB125" t="b">
        <f t="shared" si="1"/>
        <v>0</v>
      </c>
    </row>
    <row r="126" spans="1:28" x14ac:dyDescent="0.3">
      <c r="A126">
        <v>897137</v>
      </c>
      <c r="B126" t="s">
        <v>453</v>
      </c>
      <c r="C126" t="s">
        <v>447</v>
      </c>
      <c r="D126" t="s">
        <v>454</v>
      </c>
      <c r="E126" t="s">
        <v>455</v>
      </c>
      <c r="G126">
        <v>339731</v>
      </c>
      <c r="H126" t="s">
        <v>454</v>
      </c>
      <c r="I126" t="s">
        <v>450</v>
      </c>
      <c r="J126" s="6" t="s">
        <v>456</v>
      </c>
      <c r="K126">
        <v>39121304</v>
      </c>
      <c r="L126" t="s">
        <v>455</v>
      </c>
      <c r="M126">
        <v>271995</v>
      </c>
      <c r="N126" t="s">
        <v>457</v>
      </c>
      <c r="O126" t="s">
        <v>450</v>
      </c>
      <c r="P126" t="s">
        <v>447</v>
      </c>
      <c r="Q126" t="s">
        <v>40</v>
      </c>
      <c r="R126" s="9">
        <v>0.97296800108534598</v>
      </c>
      <c r="S126" s="8">
        <v>100</v>
      </c>
      <c r="T126" s="8">
        <v>100</v>
      </c>
      <c r="U126" s="8">
        <v>100</v>
      </c>
      <c r="V126" t="s">
        <v>450</v>
      </c>
      <c r="W126" s="9">
        <v>97.367949999999993</v>
      </c>
      <c r="X126">
        <v>39121304</v>
      </c>
      <c r="Y126" s="9">
        <v>97.367949999999993</v>
      </c>
      <c r="Z126">
        <v>39121304</v>
      </c>
      <c r="AA126" s="9">
        <v>97.367949999999993</v>
      </c>
      <c r="AB126" t="b">
        <f t="shared" si="1"/>
        <v>0</v>
      </c>
    </row>
    <row r="127" spans="1:28" x14ac:dyDescent="0.3">
      <c r="A127">
        <v>897138</v>
      </c>
      <c r="B127" t="s">
        <v>458</v>
      </c>
      <c r="C127" t="s">
        <v>370</v>
      </c>
      <c r="D127" t="s">
        <v>459</v>
      </c>
      <c r="O127" t="s">
        <v>313</v>
      </c>
      <c r="P127" t="s">
        <v>372</v>
      </c>
      <c r="Q127" t="s">
        <v>40</v>
      </c>
      <c r="T127" s="8">
        <v>100</v>
      </c>
      <c r="X127">
        <v>26121545</v>
      </c>
      <c r="Y127" s="8">
        <v>58.128052500000003</v>
      </c>
      <c r="Z127">
        <v>26121545</v>
      </c>
      <c r="AA127" s="9">
        <v>58.127246999999997</v>
      </c>
      <c r="AB127" t="b">
        <f t="shared" si="1"/>
        <v>0</v>
      </c>
    </row>
    <row r="128" spans="1:28" x14ac:dyDescent="0.3">
      <c r="A128">
        <v>897139</v>
      </c>
      <c r="B128" t="s">
        <v>460</v>
      </c>
      <c r="C128" t="s">
        <v>408</v>
      </c>
      <c r="D128" t="s">
        <v>461</v>
      </c>
      <c r="E128" t="s">
        <v>462</v>
      </c>
      <c r="G128">
        <v>335713</v>
      </c>
      <c r="H128" t="s">
        <v>461</v>
      </c>
      <c r="I128" t="s">
        <v>321</v>
      </c>
      <c r="J128" s="5">
        <v>781002820765</v>
      </c>
      <c r="K128">
        <v>31162400</v>
      </c>
      <c r="L128" t="s">
        <v>462</v>
      </c>
      <c r="M128">
        <v>261838</v>
      </c>
      <c r="N128" t="s">
        <v>460</v>
      </c>
      <c r="O128" t="s">
        <v>321</v>
      </c>
      <c r="P128" t="s">
        <v>408</v>
      </c>
      <c r="Q128" t="s">
        <v>40</v>
      </c>
      <c r="R128" s="8">
        <v>0.99998002063270497</v>
      </c>
      <c r="S128" s="8">
        <v>100</v>
      </c>
      <c r="T128" s="8">
        <v>100</v>
      </c>
      <c r="U128" s="8">
        <v>100</v>
      </c>
      <c r="V128" t="s">
        <v>321</v>
      </c>
      <c r="W128" s="8">
        <v>99.998009999999994</v>
      </c>
      <c r="X128">
        <v>31162400</v>
      </c>
      <c r="Y128" s="8">
        <v>99.998009999999994</v>
      </c>
      <c r="Z128">
        <v>31162400</v>
      </c>
      <c r="AA128" s="9">
        <v>99.998009999999994</v>
      </c>
      <c r="AB128" t="b">
        <f t="shared" si="1"/>
        <v>0</v>
      </c>
    </row>
    <row r="129" spans="1:28" x14ac:dyDescent="0.3">
      <c r="A129">
        <v>897140</v>
      </c>
      <c r="B129" t="s">
        <v>463</v>
      </c>
      <c r="C129" t="s">
        <v>408</v>
      </c>
      <c r="D129" t="s">
        <v>464</v>
      </c>
      <c r="E129" t="s">
        <v>465</v>
      </c>
      <c r="G129">
        <v>210311</v>
      </c>
      <c r="H129" t="s">
        <v>464</v>
      </c>
      <c r="I129" t="s">
        <v>321</v>
      </c>
      <c r="J129" s="5">
        <v>781002274858</v>
      </c>
      <c r="K129">
        <v>31151606</v>
      </c>
      <c r="M129">
        <v>113271</v>
      </c>
      <c r="N129" t="s">
        <v>466</v>
      </c>
      <c r="O129" t="s">
        <v>321</v>
      </c>
      <c r="P129" t="s">
        <v>408</v>
      </c>
      <c r="Q129" t="s">
        <v>40</v>
      </c>
      <c r="R129" s="9">
        <v>0.81013595655072101</v>
      </c>
      <c r="S129" s="8">
        <v>100</v>
      </c>
      <c r="T129" s="8">
        <v>100</v>
      </c>
      <c r="U129" s="8">
        <v>100</v>
      </c>
      <c r="V129" t="s">
        <v>321</v>
      </c>
      <c r="W129" s="9">
        <v>99.999929999999907</v>
      </c>
      <c r="X129">
        <v>31151606</v>
      </c>
      <c r="Y129" s="9">
        <v>99.999929999999907</v>
      </c>
      <c r="Z129">
        <v>31151606</v>
      </c>
      <c r="AA129" s="8">
        <v>99.999930000000006</v>
      </c>
      <c r="AB129" t="b">
        <f t="shared" si="1"/>
        <v>0</v>
      </c>
    </row>
    <row r="130" spans="1:28" x14ac:dyDescent="0.3">
      <c r="A130">
        <v>897141</v>
      </c>
      <c r="B130" t="s">
        <v>467</v>
      </c>
      <c r="C130" t="s">
        <v>293</v>
      </c>
      <c r="D130" t="s">
        <v>468</v>
      </c>
      <c r="E130" t="s">
        <v>469</v>
      </c>
      <c r="G130">
        <v>336393</v>
      </c>
      <c r="H130" t="s">
        <v>468</v>
      </c>
      <c r="I130" t="s">
        <v>308</v>
      </c>
      <c r="J130" s="5">
        <v>786189107081</v>
      </c>
      <c r="K130">
        <v>39121300</v>
      </c>
      <c r="L130" t="s">
        <v>469</v>
      </c>
      <c r="M130">
        <v>255892</v>
      </c>
      <c r="N130" t="s">
        <v>470</v>
      </c>
      <c r="O130" t="s">
        <v>308</v>
      </c>
      <c r="Q130" t="s">
        <v>75</v>
      </c>
      <c r="R130" s="9">
        <v>0.98803050958215499</v>
      </c>
      <c r="S130" s="9">
        <v>76.901525479107704</v>
      </c>
      <c r="T130" s="9">
        <v>50.901525479107697</v>
      </c>
      <c r="U130" s="8">
        <v>100</v>
      </c>
      <c r="V130" t="s">
        <v>308</v>
      </c>
      <c r="W130" s="8">
        <v>98.817222999999998</v>
      </c>
      <c r="X130">
        <v>39121300</v>
      </c>
      <c r="Y130" s="8">
        <v>98.817222999999998</v>
      </c>
      <c r="Z130">
        <v>39121300</v>
      </c>
      <c r="AA130" s="8">
        <v>98.817222999999998</v>
      </c>
      <c r="AB130" t="b">
        <f t="shared" si="1"/>
        <v>0</v>
      </c>
    </row>
    <row r="131" spans="1:28" x14ac:dyDescent="0.3">
      <c r="A131">
        <v>897142</v>
      </c>
      <c r="B131" t="s">
        <v>393</v>
      </c>
      <c r="C131" t="s">
        <v>394</v>
      </c>
      <c r="D131" t="s">
        <v>395</v>
      </c>
      <c r="E131" t="s">
        <v>396</v>
      </c>
      <c r="G131">
        <v>339261</v>
      </c>
      <c r="H131" t="s">
        <v>395</v>
      </c>
      <c r="I131" t="s">
        <v>397</v>
      </c>
      <c r="J131" s="5">
        <v>783585235929</v>
      </c>
      <c r="K131">
        <v>39121406</v>
      </c>
      <c r="L131" t="s">
        <v>396</v>
      </c>
      <c r="M131">
        <v>260178</v>
      </c>
      <c r="N131" t="s">
        <v>398</v>
      </c>
      <c r="O131" t="s">
        <v>397</v>
      </c>
      <c r="Q131" t="s">
        <v>75</v>
      </c>
      <c r="R131" s="9">
        <v>0.95166161898418999</v>
      </c>
      <c r="S131" s="9">
        <v>22.382150964499601</v>
      </c>
      <c r="T131" s="9">
        <v>77.541540474604702</v>
      </c>
      <c r="U131" s="8">
        <v>100</v>
      </c>
      <c r="V131" t="s">
        <v>397</v>
      </c>
      <c r="W131" s="8">
        <v>95.389043999999998</v>
      </c>
      <c r="X131">
        <v>39121406</v>
      </c>
      <c r="Y131" s="8">
        <v>95.389043999999998</v>
      </c>
      <c r="Z131">
        <v>39121406</v>
      </c>
      <c r="AA131" s="8">
        <v>95.389043999999998</v>
      </c>
      <c r="AB131" t="b">
        <f t="shared" ref="AB131:AB194" si="2">(AA131-Y131)&lt;-1</f>
        <v>0</v>
      </c>
    </row>
    <row r="132" spans="1:28" x14ac:dyDescent="0.3">
      <c r="A132">
        <v>897143</v>
      </c>
      <c r="B132" t="s">
        <v>471</v>
      </c>
      <c r="C132" t="s">
        <v>408</v>
      </c>
      <c r="D132" t="s">
        <v>472</v>
      </c>
      <c r="E132" t="s">
        <v>473</v>
      </c>
      <c r="G132">
        <v>210317</v>
      </c>
      <c r="H132" t="s">
        <v>472</v>
      </c>
      <c r="I132" t="s">
        <v>321</v>
      </c>
      <c r="J132" s="5">
        <v>781002558767</v>
      </c>
      <c r="K132">
        <v>31161504</v>
      </c>
      <c r="M132">
        <v>113291</v>
      </c>
      <c r="N132" t="s">
        <v>474</v>
      </c>
      <c r="O132" t="s">
        <v>321</v>
      </c>
      <c r="P132" t="s">
        <v>408</v>
      </c>
      <c r="Q132" t="s">
        <v>40</v>
      </c>
      <c r="R132" s="9">
        <v>0.844162076163677</v>
      </c>
      <c r="S132" s="8">
        <v>100</v>
      </c>
      <c r="T132" s="8">
        <v>100</v>
      </c>
      <c r="U132" s="8">
        <v>100</v>
      </c>
      <c r="V132" t="s">
        <v>321</v>
      </c>
      <c r="W132" s="8">
        <v>94.17989</v>
      </c>
      <c r="X132">
        <v>31161504</v>
      </c>
      <c r="Y132" s="8">
        <v>94.17989</v>
      </c>
      <c r="Z132">
        <v>31161504</v>
      </c>
      <c r="AA132" s="8">
        <v>94.17989</v>
      </c>
      <c r="AB132" t="b">
        <f t="shared" si="2"/>
        <v>0</v>
      </c>
    </row>
    <row r="133" spans="1:28" x14ac:dyDescent="0.3">
      <c r="A133">
        <v>897144</v>
      </c>
      <c r="B133" t="s">
        <v>475</v>
      </c>
      <c r="C133" t="s">
        <v>293</v>
      </c>
      <c r="D133">
        <v>455</v>
      </c>
      <c r="E133" t="s">
        <v>476</v>
      </c>
      <c r="O133" t="s">
        <v>296</v>
      </c>
      <c r="P133" t="s">
        <v>293</v>
      </c>
      <c r="Q133" t="s">
        <v>51</v>
      </c>
      <c r="T133" s="8">
        <v>50</v>
      </c>
      <c r="V133" t="s">
        <v>308</v>
      </c>
      <c r="W133" s="8">
        <v>88.624380000000002</v>
      </c>
      <c r="X133">
        <v>39121434</v>
      </c>
      <c r="Y133" s="8">
        <v>88.624380000000002</v>
      </c>
      <c r="Z133">
        <v>39121434</v>
      </c>
      <c r="AA133" s="8">
        <v>88.624380000000002</v>
      </c>
      <c r="AB133" t="b">
        <f t="shared" si="2"/>
        <v>0</v>
      </c>
    </row>
    <row r="134" spans="1:28" x14ac:dyDescent="0.3">
      <c r="A134">
        <v>897145</v>
      </c>
      <c r="B134" t="s">
        <v>477</v>
      </c>
      <c r="C134" t="s">
        <v>284</v>
      </c>
      <c r="D134" t="s">
        <v>478</v>
      </c>
      <c r="E134" t="s">
        <v>479</v>
      </c>
      <c r="G134">
        <v>335941</v>
      </c>
      <c r="H134" t="s">
        <v>480</v>
      </c>
      <c r="I134" t="s">
        <v>286</v>
      </c>
      <c r="J134" s="5">
        <v>781747154101</v>
      </c>
      <c r="K134">
        <v>39131700</v>
      </c>
      <c r="L134" t="s">
        <v>479</v>
      </c>
      <c r="M134">
        <v>270379</v>
      </c>
      <c r="N134" t="s">
        <v>481</v>
      </c>
      <c r="O134" t="s">
        <v>286</v>
      </c>
      <c r="P134" t="s">
        <v>284</v>
      </c>
      <c r="Q134" t="s">
        <v>40</v>
      </c>
      <c r="R134" s="9">
        <v>0.99645813966546604</v>
      </c>
      <c r="S134" s="8">
        <v>100</v>
      </c>
      <c r="T134" s="8">
        <v>100</v>
      </c>
      <c r="U134" s="8">
        <v>100</v>
      </c>
      <c r="V134" t="s">
        <v>286</v>
      </c>
      <c r="W134" s="8">
        <v>99.647059999999996</v>
      </c>
      <c r="X134">
        <v>39131700</v>
      </c>
      <c r="Y134" s="8">
        <v>99.647059999999996</v>
      </c>
      <c r="Z134">
        <v>39131700</v>
      </c>
      <c r="AA134" s="8">
        <v>99.647059999999996</v>
      </c>
      <c r="AB134" t="b">
        <f t="shared" si="2"/>
        <v>0</v>
      </c>
    </row>
    <row r="135" spans="1:28" x14ac:dyDescent="0.3">
      <c r="A135">
        <v>897146</v>
      </c>
      <c r="B135" t="s">
        <v>482</v>
      </c>
      <c r="C135" t="s">
        <v>483</v>
      </c>
      <c r="D135">
        <v>590</v>
      </c>
      <c r="E135" t="s">
        <v>484</v>
      </c>
      <c r="O135" t="s">
        <v>485</v>
      </c>
      <c r="P135" t="s">
        <v>483</v>
      </c>
      <c r="Q135" t="s">
        <v>40</v>
      </c>
      <c r="T135" s="8">
        <v>100</v>
      </c>
      <c r="V135" t="s">
        <v>485</v>
      </c>
      <c r="W135" s="8">
        <v>85.845804000000001</v>
      </c>
      <c r="X135">
        <v>39121305</v>
      </c>
      <c r="Y135" s="8">
        <v>84.007490000000004</v>
      </c>
      <c r="Z135">
        <v>39121305</v>
      </c>
      <c r="AA135" s="8">
        <v>84.007490000000004</v>
      </c>
      <c r="AB135" t="b">
        <f t="shared" si="2"/>
        <v>0</v>
      </c>
    </row>
    <row r="136" spans="1:28" x14ac:dyDescent="0.3">
      <c r="A136">
        <v>897147</v>
      </c>
      <c r="B136" t="s">
        <v>314</v>
      </c>
      <c r="C136" t="s">
        <v>279</v>
      </c>
      <c r="D136" t="s">
        <v>315</v>
      </c>
      <c r="E136" t="s">
        <v>44</v>
      </c>
      <c r="O136" t="s">
        <v>45</v>
      </c>
      <c r="P136" t="s">
        <v>279</v>
      </c>
      <c r="Q136" t="s">
        <v>40</v>
      </c>
      <c r="T136" s="8">
        <v>100</v>
      </c>
      <c r="X136">
        <v>39131708</v>
      </c>
      <c r="Y136" s="9">
        <v>61.340546399999901</v>
      </c>
      <c r="Z136">
        <v>39131708</v>
      </c>
      <c r="AA136" s="9">
        <v>61.345987199999897</v>
      </c>
      <c r="AB136" t="b">
        <f t="shared" si="2"/>
        <v>0</v>
      </c>
    </row>
    <row r="137" spans="1:28" x14ac:dyDescent="0.3">
      <c r="A137">
        <v>897148</v>
      </c>
      <c r="B137" t="s">
        <v>486</v>
      </c>
      <c r="C137" t="s">
        <v>293</v>
      </c>
      <c r="D137" t="s">
        <v>487</v>
      </c>
      <c r="E137" t="s">
        <v>488</v>
      </c>
      <c r="O137" t="s">
        <v>296</v>
      </c>
      <c r="P137" t="s">
        <v>293</v>
      </c>
      <c r="Q137" t="s">
        <v>40</v>
      </c>
      <c r="T137" s="8">
        <v>100</v>
      </c>
      <c r="V137" t="s">
        <v>308</v>
      </c>
      <c r="W137" s="8">
        <v>90.684830000000005</v>
      </c>
      <c r="X137">
        <v>39121312</v>
      </c>
      <c r="Y137" s="9">
        <v>54.410897999999897</v>
      </c>
      <c r="Z137">
        <v>39121312</v>
      </c>
      <c r="AA137" s="9">
        <v>54.410897999999897</v>
      </c>
      <c r="AB137" t="b">
        <f t="shared" si="2"/>
        <v>0</v>
      </c>
    </row>
    <row r="138" spans="1:28" x14ac:dyDescent="0.3">
      <c r="A138">
        <v>897149</v>
      </c>
      <c r="B138" t="s">
        <v>489</v>
      </c>
      <c r="C138" t="s">
        <v>279</v>
      </c>
      <c r="D138" t="s">
        <v>490</v>
      </c>
      <c r="E138" t="s">
        <v>491</v>
      </c>
      <c r="O138" t="s">
        <v>45</v>
      </c>
      <c r="P138" t="s">
        <v>279</v>
      </c>
      <c r="Q138" t="s">
        <v>40</v>
      </c>
      <c r="T138" s="8">
        <v>100</v>
      </c>
      <c r="X138">
        <v>39131706</v>
      </c>
      <c r="Y138" s="8">
        <v>78.411010000000005</v>
      </c>
      <c r="Z138">
        <v>39131706</v>
      </c>
      <c r="AA138" s="9">
        <v>78.409739999999999</v>
      </c>
      <c r="AB138" t="b">
        <f t="shared" si="2"/>
        <v>0</v>
      </c>
    </row>
    <row r="139" spans="1:28" x14ac:dyDescent="0.3">
      <c r="A139">
        <v>897150</v>
      </c>
      <c r="B139" t="s">
        <v>492</v>
      </c>
      <c r="C139" t="s">
        <v>279</v>
      </c>
      <c r="D139" t="s">
        <v>493</v>
      </c>
      <c r="E139" t="s">
        <v>494</v>
      </c>
      <c r="O139" t="s">
        <v>45</v>
      </c>
      <c r="P139" t="s">
        <v>279</v>
      </c>
      <c r="Q139" t="s">
        <v>40</v>
      </c>
      <c r="T139" s="8">
        <v>100</v>
      </c>
      <c r="X139">
        <v>39131706</v>
      </c>
      <c r="Y139" s="8">
        <v>78.734110000000001</v>
      </c>
      <c r="Z139">
        <v>39131706</v>
      </c>
      <c r="AA139" s="9">
        <v>78.736109999999996</v>
      </c>
      <c r="AB139" t="b">
        <f t="shared" si="2"/>
        <v>0</v>
      </c>
    </row>
    <row r="140" spans="1:28" x14ac:dyDescent="0.3">
      <c r="A140">
        <v>897151</v>
      </c>
      <c r="B140" t="s">
        <v>495</v>
      </c>
      <c r="C140" t="s">
        <v>496</v>
      </c>
      <c r="D140" t="s">
        <v>497</v>
      </c>
      <c r="O140" t="s">
        <v>496</v>
      </c>
      <c r="P140" t="s">
        <v>496</v>
      </c>
      <c r="Q140" t="s">
        <v>51</v>
      </c>
      <c r="T140" s="8">
        <v>50</v>
      </c>
      <c r="AB140" t="b">
        <f t="shared" si="2"/>
        <v>0</v>
      </c>
    </row>
    <row r="141" spans="1:28" x14ac:dyDescent="0.3">
      <c r="A141">
        <v>897152</v>
      </c>
      <c r="B141" t="s">
        <v>324</v>
      </c>
      <c r="C141" t="s">
        <v>293</v>
      </c>
      <c r="D141" t="s">
        <v>325</v>
      </c>
      <c r="E141" t="s">
        <v>326</v>
      </c>
      <c r="O141" t="s">
        <v>296</v>
      </c>
      <c r="P141" t="s">
        <v>293</v>
      </c>
      <c r="Q141" t="s">
        <v>40</v>
      </c>
      <c r="T141" s="8">
        <v>100</v>
      </c>
      <c r="X141">
        <v>39131708</v>
      </c>
      <c r="Y141" s="8">
        <v>82.211333999999994</v>
      </c>
      <c r="Z141">
        <v>39131708</v>
      </c>
      <c r="AA141" s="8">
        <v>82.211333999999994</v>
      </c>
      <c r="AB141" t="b">
        <f t="shared" si="2"/>
        <v>0</v>
      </c>
    </row>
    <row r="142" spans="1:28" x14ac:dyDescent="0.3">
      <c r="A142">
        <v>897153</v>
      </c>
      <c r="B142" t="s">
        <v>498</v>
      </c>
      <c r="C142" t="s">
        <v>293</v>
      </c>
      <c r="D142" t="s">
        <v>499</v>
      </c>
      <c r="E142" t="s">
        <v>500</v>
      </c>
      <c r="O142" t="s">
        <v>296</v>
      </c>
      <c r="P142" t="s">
        <v>293</v>
      </c>
      <c r="Q142" t="s">
        <v>40</v>
      </c>
      <c r="T142" s="8">
        <v>100</v>
      </c>
      <c r="X142">
        <v>39131708</v>
      </c>
      <c r="Y142" s="8">
        <v>83.843739999999997</v>
      </c>
      <c r="Z142">
        <v>39131708</v>
      </c>
      <c r="AA142" s="8">
        <v>83.843739999999997</v>
      </c>
      <c r="AB142" t="b">
        <f t="shared" si="2"/>
        <v>0</v>
      </c>
    </row>
    <row r="143" spans="1:28" x14ac:dyDescent="0.3">
      <c r="A143">
        <v>897154</v>
      </c>
      <c r="B143" t="s">
        <v>501</v>
      </c>
      <c r="C143" t="s">
        <v>293</v>
      </c>
      <c r="D143" t="s">
        <v>502</v>
      </c>
      <c r="E143" t="s">
        <v>503</v>
      </c>
      <c r="G143">
        <v>336645</v>
      </c>
      <c r="H143" t="s">
        <v>502</v>
      </c>
      <c r="I143" t="s">
        <v>308</v>
      </c>
      <c r="J143" s="5">
        <v>786189079401</v>
      </c>
      <c r="K143">
        <v>39121321</v>
      </c>
      <c r="L143" t="s">
        <v>503</v>
      </c>
      <c r="M143">
        <v>255954</v>
      </c>
      <c r="N143" t="s">
        <v>504</v>
      </c>
      <c r="O143" t="s">
        <v>308</v>
      </c>
      <c r="Q143" t="s">
        <v>75</v>
      </c>
      <c r="R143" s="9">
        <v>0.95215132243808698</v>
      </c>
      <c r="S143" s="9">
        <v>80.107566121904298</v>
      </c>
      <c r="T143" s="9">
        <v>52.107566121904298</v>
      </c>
      <c r="U143" s="8">
        <v>100</v>
      </c>
      <c r="V143" t="s">
        <v>308</v>
      </c>
      <c r="W143" s="9">
        <v>95.433634999999995</v>
      </c>
      <c r="X143">
        <v>39121321</v>
      </c>
      <c r="Y143" s="9">
        <v>95.433634999999995</v>
      </c>
      <c r="Z143">
        <v>39121321</v>
      </c>
      <c r="AA143" s="9">
        <v>95.433634999999995</v>
      </c>
      <c r="AB143" t="b">
        <f t="shared" si="2"/>
        <v>0</v>
      </c>
    </row>
    <row r="144" spans="1:28" x14ac:dyDescent="0.3">
      <c r="A144">
        <v>897155</v>
      </c>
      <c r="B144" t="s">
        <v>393</v>
      </c>
      <c r="C144" t="s">
        <v>394</v>
      </c>
      <c r="D144" t="s">
        <v>395</v>
      </c>
      <c r="E144" t="s">
        <v>396</v>
      </c>
      <c r="G144">
        <v>339261</v>
      </c>
      <c r="H144" t="s">
        <v>395</v>
      </c>
      <c r="I144" t="s">
        <v>397</v>
      </c>
      <c r="J144" s="5">
        <v>783585235929</v>
      </c>
      <c r="K144">
        <v>39121406</v>
      </c>
      <c r="L144" t="s">
        <v>396</v>
      </c>
      <c r="M144">
        <v>260178</v>
      </c>
      <c r="N144" t="s">
        <v>398</v>
      </c>
      <c r="O144" t="s">
        <v>397</v>
      </c>
      <c r="Q144" t="s">
        <v>75</v>
      </c>
      <c r="R144" s="9">
        <v>0.95166161898418999</v>
      </c>
      <c r="S144" s="9">
        <v>22.382150964499601</v>
      </c>
      <c r="T144" s="9">
        <v>77.541540474604702</v>
      </c>
      <c r="U144" s="8">
        <v>100</v>
      </c>
      <c r="V144" t="s">
        <v>397</v>
      </c>
      <c r="W144" s="8">
        <v>95.389043999999998</v>
      </c>
      <c r="X144">
        <v>39121406</v>
      </c>
      <c r="Y144" s="8">
        <v>95.389043999999998</v>
      </c>
      <c r="Z144">
        <v>39121406</v>
      </c>
      <c r="AA144" s="8">
        <v>95.389043999999998</v>
      </c>
      <c r="AB144" t="b">
        <f t="shared" si="2"/>
        <v>0</v>
      </c>
    </row>
    <row r="145" spans="1:28" x14ac:dyDescent="0.3">
      <c r="A145">
        <v>897156</v>
      </c>
      <c r="B145" t="s">
        <v>505</v>
      </c>
      <c r="C145" t="s">
        <v>310</v>
      </c>
      <c r="D145" t="s">
        <v>506</v>
      </c>
      <c r="E145" t="s">
        <v>507</v>
      </c>
      <c r="O145" t="s">
        <v>313</v>
      </c>
      <c r="P145" t="s">
        <v>310</v>
      </c>
      <c r="Q145" t="s">
        <v>40</v>
      </c>
      <c r="T145" s="8">
        <v>100</v>
      </c>
      <c r="X145">
        <v>26121614</v>
      </c>
      <c r="Y145" s="8">
        <v>80.014160000000004</v>
      </c>
      <c r="Z145">
        <v>26121614</v>
      </c>
      <c r="AA145" s="8">
        <v>80.014160000000004</v>
      </c>
      <c r="AB145" t="b">
        <f t="shared" si="2"/>
        <v>0</v>
      </c>
    </row>
    <row r="146" spans="1:28" x14ac:dyDescent="0.3">
      <c r="A146">
        <v>897157</v>
      </c>
      <c r="B146" t="s">
        <v>508</v>
      </c>
      <c r="C146" t="s">
        <v>509</v>
      </c>
      <c r="D146" t="s">
        <v>510</v>
      </c>
      <c r="E146" t="s">
        <v>511</v>
      </c>
      <c r="O146" t="s">
        <v>144</v>
      </c>
      <c r="P146" t="s">
        <v>144</v>
      </c>
      <c r="Q146" t="s">
        <v>40</v>
      </c>
      <c r="T146" s="8">
        <v>60</v>
      </c>
      <c r="X146">
        <v>31201502</v>
      </c>
      <c r="Y146" s="8">
        <v>84.199977000000004</v>
      </c>
      <c r="Z146">
        <v>31201502</v>
      </c>
      <c r="AA146" s="8">
        <v>84.199977000000004</v>
      </c>
      <c r="AB146" t="b">
        <f t="shared" si="2"/>
        <v>0</v>
      </c>
    </row>
    <row r="147" spans="1:28" x14ac:dyDescent="0.3">
      <c r="A147">
        <v>897158</v>
      </c>
      <c r="B147" t="s">
        <v>512</v>
      </c>
      <c r="C147" t="s">
        <v>340</v>
      </c>
      <c r="D147" t="s">
        <v>513</v>
      </c>
      <c r="E147" t="s">
        <v>514</v>
      </c>
      <c r="G147">
        <v>342418</v>
      </c>
      <c r="H147" t="s">
        <v>513</v>
      </c>
      <c r="I147" t="s">
        <v>343</v>
      </c>
      <c r="J147" s="5">
        <v>783510427009</v>
      </c>
      <c r="K147">
        <v>39121324</v>
      </c>
      <c r="L147" t="s">
        <v>514</v>
      </c>
      <c r="M147">
        <v>272155</v>
      </c>
      <c r="N147" t="s">
        <v>515</v>
      </c>
      <c r="O147" t="s">
        <v>343</v>
      </c>
      <c r="P147" t="s">
        <v>340</v>
      </c>
      <c r="Q147" t="s">
        <v>40</v>
      </c>
      <c r="R147" s="9">
        <v>0.99118751343645795</v>
      </c>
      <c r="S147" s="8">
        <v>100</v>
      </c>
      <c r="T147" s="8">
        <v>100</v>
      </c>
      <c r="U147" s="8">
        <v>100</v>
      </c>
      <c r="V147" t="s">
        <v>343</v>
      </c>
      <c r="W147" s="9">
        <v>99.126459999999994</v>
      </c>
      <c r="X147">
        <v>39121324</v>
      </c>
      <c r="Y147" s="9">
        <v>99.126459999999994</v>
      </c>
      <c r="Z147">
        <v>39121324</v>
      </c>
      <c r="AA147" s="9">
        <v>99.135404999999906</v>
      </c>
      <c r="AB147" t="b">
        <f t="shared" si="2"/>
        <v>0</v>
      </c>
    </row>
    <row r="148" spans="1:28" x14ac:dyDescent="0.3">
      <c r="A148">
        <v>897159</v>
      </c>
      <c r="B148" t="s">
        <v>387</v>
      </c>
      <c r="C148" t="s">
        <v>388</v>
      </c>
      <c r="D148" t="s">
        <v>389</v>
      </c>
      <c r="E148" t="s">
        <v>390</v>
      </c>
      <c r="G148">
        <v>324326</v>
      </c>
      <c r="H148">
        <v>58025205</v>
      </c>
      <c r="I148" t="s">
        <v>221</v>
      </c>
      <c r="J148" s="6" t="s">
        <v>391</v>
      </c>
      <c r="K148">
        <v>26121614</v>
      </c>
      <c r="M148">
        <v>88599</v>
      </c>
      <c r="N148" t="s">
        <v>392</v>
      </c>
      <c r="O148" t="s">
        <v>221</v>
      </c>
      <c r="Q148" t="s">
        <v>75</v>
      </c>
      <c r="R148" s="9">
        <v>0.71679316712693797</v>
      </c>
      <c r="S148" s="9">
        <v>73.339658356346902</v>
      </c>
      <c r="T148" s="9">
        <v>43.339658356346902</v>
      </c>
      <c r="U148" s="9">
        <v>58.358633425387602</v>
      </c>
      <c r="X148">
        <v>26121614</v>
      </c>
      <c r="Y148" s="8">
        <v>77.929753000000005</v>
      </c>
      <c r="Z148">
        <v>26121614</v>
      </c>
      <c r="AA148" s="8">
        <v>77.929753000000005</v>
      </c>
      <c r="AB148" t="b">
        <f t="shared" si="2"/>
        <v>0</v>
      </c>
    </row>
    <row r="149" spans="1:28" x14ac:dyDescent="0.3">
      <c r="A149">
        <v>897160</v>
      </c>
      <c r="B149" t="s">
        <v>516</v>
      </c>
      <c r="C149" t="s">
        <v>310</v>
      </c>
      <c r="D149" t="s">
        <v>517</v>
      </c>
      <c r="E149" t="s">
        <v>518</v>
      </c>
      <c r="O149" t="s">
        <v>313</v>
      </c>
      <c r="P149" t="s">
        <v>310</v>
      </c>
      <c r="Q149" t="s">
        <v>40</v>
      </c>
      <c r="T149" s="8">
        <v>100</v>
      </c>
      <c r="X149">
        <v>26121614</v>
      </c>
      <c r="Y149" s="9">
        <v>79.3953699999999</v>
      </c>
      <c r="Z149">
        <v>26121614</v>
      </c>
      <c r="AA149" s="9">
        <v>79.3953699999999</v>
      </c>
      <c r="AB149" t="b">
        <f t="shared" si="2"/>
        <v>0</v>
      </c>
    </row>
    <row r="150" spans="1:28" x14ac:dyDescent="0.3">
      <c r="A150">
        <v>897161</v>
      </c>
      <c r="B150" t="s">
        <v>519</v>
      </c>
      <c r="C150" t="s">
        <v>310</v>
      </c>
      <c r="D150" t="s">
        <v>520</v>
      </c>
      <c r="E150" t="s">
        <v>521</v>
      </c>
      <c r="O150" t="s">
        <v>313</v>
      </c>
      <c r="P150" t="s">
        <v>310</v>
      </c>
      <c r="Q150" t="s">
        <v>40</v>
      </c>
      <c r="T150" s="8">
        <v>100</v>
      </c>
      <c r="X150">
        <v>26121614</v>
      </c>
      <c r="Y150" s="8">
        <v>77.159440000000004</v>
      </c>
      <c r="Z150">
        <v>26121614</v>
      </c>
      <c r="AA150" s="8">
        <v>77.159440000000004</v>
      </c>
      <c r="AB150" t="b">
        <f t="shared" si="2"/>
        <v>0</v>
      </c>
    </row>
    <row r="151" spans="1:28" x14ac:dyDescent="0.3">
      <c r="A151">
        <v>897162</v>
      </c>
      <c r="B151" t="s">
        <v>522</v>
      </c>
      <c r="C151" t="s">
        <v>310</v>
      </c>
      <c r="D151" t="s">
        <v>523</v>
      </c>
      <c r="E151" t="s">
        <v>524</v>
      </c>
      <c r="O151" t="s">
        <v>313</v>
      </c>
      <c r="P151" t="s">
        <v>310</v>
      </c>
      <c r="Q151" t="s">
        <v>40</v>
      </c>
      <c r="T151" s="8">
        <v>100</v>
      </c>
      <c r="X151">
        <v>26121500</v>
      </c>
      <c r="Y151" s="9">
        <v>68.754453333333302</v>
      </c>
      <c r="Z151">
        <v>26121500</v>
      </c>
      <c r="AA151" s="9">
        <v>68.754453333333302</v>
      </c>
      <c r="AB151" t="b">
        <f t="shared" si="2"/>
        <v>0</v>
      </c>
    </row>
    <row r="152" spans="1:28" x14ac:dyDescent="0.3">
      <c r="A152">
        <v>897163</v>
      </c>
      <c r="B152" t="s">
        <v>525</v>
      </c>
      <c r="C152" t="s">
        <v>276</v>
      </c>
      <c r="D152" t="s">
        <v>526</v>
      </c>
      <c r="E152" t="s">
        <v>527</v>
      </c>
      <c r="O152" t="s">
        <v>45</v>
      </c>
      <c r="P152" t="s">
        <v>276</v>
      </c>
      <c r="Q152" t="s">
        <v>40</v>
      </c>
      <c r="T152" s="8">
        <v>100</v>
      </c>
      <c r="AB152" t="b">
        <f t="shared" si="2"/>
        <v>0</v>
      </c>
    </row>
    <row r="153" spans="1:28" x14ac:dyDescent="0.3">
      <c r="A153">
        <v>897164</v>
      </c>
      <c r="B153" t="s">
        <v>528</v>
      </c>
      <c r="C153" t="s">
        <v>293</v>
      </c>
      <c r="D153" t="s">
        <v>529</v>
      </c>
      <c r="E153" t="s">
        <v>530</v>
      </c>
      <c r="G153">
        <v>337849</v>
      </c>
      <c r="H153" t="s">
        <v>529</v>
      </c>
      <c r="I153" t="s">
        <v>308</v>
      </c>
      <c r="J153" s="5">
        <v>782274592503</v>
      </c>
      <c r="K153">
        <v>39121312</v>
      </c>
      <c r="L153" t="s">
        <v>530</v>
      </c>
      <c r="M153">
        <v>255614</v>
      </c>
      <c r="N153" t="s">
        <v>531</v>
      </c>
      <c r="O153" t="s">
        <v>308</v>
      </c>
      <c r="Q153" t="s">
        <v>75</v>
      </c>
      <c r="R153" s="8">
        <v>0.95313011986973395</v>
      </c>
      <c r="S153" s="9">
        <v>75.156505993486604</v>
      </c>
      <c r="T153" s="8">
        <v>49.156505993486697</v>
      </c>
      <c r="U153" s="9">
        <v>99.626023973946701</v>
      </c>
      <c r="V153" t="s">
        <v>308</v>
      </c>
      <c r="W153" s="8">
        <v>95.522869999999998</v>
      </c>
      <c r="X153">
        <v>39121312</v>
      </c>
      <c r="Y153" s="8">
        <v>57.313721999999999</v>
      </c>
      <c r="Z153">
        <v>39121312</v>
      </c>
      <c r="AA153" s="8">
        <v>95.522869999999998</v>
      </c>
      <c r="AB153" t="b">
        <f t="shared" si="2"/>
        <v>0</v>
      </c>
    </row>
    <row r="154" spans="1:28" x14ac:dyDescent="0.3">
      <c r="A154">
        <v>897165</v>
      </c>
      <c r="B154" t="s">
        <v>261</v>
      </c>
      <c r="C154" t="s">
        <v>146</v>
      </c>
      <c r="D154">
        <v>30283</v>
      </c>
      <c r="G154">
        <v>172067</v>
      </c>
      <c r="H154">
        <v>30283</v>
      </c>
      <c r="I154" t="s">
        <v>146</v>
      </c>
      <c r="J154" s="6" t="s">
        <v>262</v>
      </c>
      <c r="K154">
        <v>39121304</v>
      </c>
      <c r="M154">
        <v>36550</v>
      </c>
      <c r="N154" t="s">
        <v>263</v>
      </c>
      <c r="O154" t="s">
        <v>146</v>
      </c>
      <c r="P154" t="s">
        <v>146</v>
      </c>
      <c r="Q154" t="s">
        <v>40</v>
      </c>
      <c r="R154" s="9">
        <v>0.74734486282620904</v>
      </c>
      <c r="S154" s="9">
        <v>89.867243141310396</v>
      </c>
      <c r="T154" s="8">
        <v>100</v>
      </c>
      <c r="U154" s="9">
        <v>85.468972565241799</v>
      </c>
      <c r="V154" t="s">
        <v>146</v>
      </c>
      <c r="W154" s="8">
        <v>86.842280000000002</v>
      </c>
      <c r="X154">
        <v>39121304</v>
      </c>
      <c r="Y154" s="8">
        <v>86.842280000000002</v>
      </c>
      <c r="Z154">
        <v>39121304</v>
      </c>
      <c r="AA154" s="8">
        <v>86.842280000000002</v>
      </c>
      <c r="AB154" t="b">
        <f t="shared" si="2"/>
        <v>0</v>
      </c>
    </row>
    <row r="155" spans="1:28" x14ac:dyDescent="0.3">
      <c r="A155">
        <v>897166</v>
      </c>
      <c r="B155" t="s">
        <v>393</v>
      </c>
      <c r="C155" t="s">
        <v>394</v>
      </c>
      <c r="D155" t="s">
        <v>395</v>
      </c>
      <c r="E155" t="s">
        <v>396</v>
      </c>
      <c r="G155">
        <v>339261</v>
      </c>
      <c r="H155" t="s">
        <v>395</v>
      </c>
      <c r="I155" t="s">
        <v>397</v>
      </c>
      <c r="J155" s="5">
        <v>783585235929</v>
      </c>
      <c r="K155">
        <v>39121406</v>
      </c>
      <c r="L155" t="s">
        <v>396</v>
      </c>
      <c r="M155">
        <v>260178</v>
      </c>
      <c r="N155" t="s">
        <v>398</v>
      </c>
      <c r="O155" t="s">
        <v>397</v>
      </c>
      <c r="Q155" t="s">
        <v>75</v>
      </c>
      <c r="R155" s="9">
        <v>0.95166161898418999</v>
      </c>
      <c r="S155" s="9">
        <v>22.382150964499601</v>
      </c>
      <c r="T155" s="9">
        <v>77.541540474604702</v>
      </c>
      <c r="U155" s="8">
        <v>100</v>
      </c>
      <c r="V155" t="s">
        <v>397</v>
      </c>
      <c r="W155" s="8">
        <v>95.389043999999998</v>
      </c>
      <c r="X155">
        <v>39121406</v>
      </c>
      <c r="Y155" s="8">
        <v>95.389043999999998</v>
      </c>
      <c r="Z155">
        <v>39121406</v>
      </c>
      <c r="AA155" s="8">
        <v>95.389043999999998</v>
      </c>
      <c r="AB155" t="b">
        <f t="shared" si="2"/>
        <v>0</v>
      </c>
    </row>
    <row r="156" spans="1:28" x14ac:dyDescent="0.3">
      <c r="A156">
        <v>897167</v>
      </c>
      <c r="B156" t="s">
        <v>532</v>
      </c>
      <c r="C156" t="s">
        <v>310</v>
      </c>
      <c r="D156" t="s">
        <v>533</v>
      </c>
      <c r="O156" t="s">
        <v>313</v>
      </c>
      <c r="P156" t="s">
        <v>310</v>
      </c>
      <c r="Q156" t="s">
        <v>40</v>
      </c>
      <c r="T156" s="8">
        <v>100</v>
      </c>
      <c r="X156">
        <v>26121500</v>
      </c>
      <c r="Y156" s="8">
        <v>78.578395</v>
      </c>
      <c r="Z156">
        <v>26121500</v>
      </c>
      <c r="AA156" s="8">
        <v>78.578395</v>
      </c>
      <c r="AB156" t="b">
        <f t="shared" si="2"/>
        <v>0</v>
      </c>
    </row>
    <row r="157" spans="1:28" x14ac:dyDescent="0.3">
      <c r="A157">
        <v>897168</v>
      </c>
      <c r="B157" t="s">
        <v>534</v>
      </c>
      <c r="C157" t="s">
        <v>310</v>
      </c>
      <c r="D157" t="s">
        <v>535</v>
      </c>
      <c r="O157" t="s">
        <v>313</v>
      </c>
      <c r="P157" t="s">
        <v>310</v>
      </c>
      <c r="Q157" t="s">
        <v>40</v>
      </c>
      <c r="T157" s="8">
        <v>100</v>
      </c>
      <c r="X157">
        <v>26121500</v>
      </c>
      <c r="Y157" s="9">
        <v>79.284114000000002</v>
      </c>
      <c r="Z157">
        <v>26121500</v>
      </c>
      <c r="AA157" s="9">
        <v>79.284114000000002</v>
      </c>
      <c r="AB157" t="b">
        <f t="shared" si="2"/>
        <v>0</v>
      </c>
    </row>
    <row r="158" spans="1:28" x14ac:dyDescent="0.3">
      <c r="A158">
        <v>897169</v>
      </c>
      <c r="B158" t="s">
        <v>536</v>
      </c>
      <c r="C158" t="s">
        <v>310</v>
      </c>
      <c r="D158" t="s">
        <v>537</v>
      </c>
      <c r="O158" t="s">
        <v>313</v>
      </c>
      <c r="P158" t="s">
        <v>310</v>
      </c>
      <c r="Q158" t="s">
        <v>40</v>
      </c>
      <c r="T158" s="8">
        <v>100</v>
      </c>
      <c r="X158">
        <v>26121500</v>
      </c>
      <c r="Y158" s="8">
        <v>78.35378</v>
      </c>
      <c r="Z158">
        <v>26121500</v>
      </c>
      <c r="AA158" s="8">
        <v>78.35378</v>
      </c>
      <c r="AB158" t="b">
        <f t="shared" si="2"/>
        <v>0</v>
      </c>
    </row>
    <row r="159" spans="1:28" x14ac:dyDescent="0.3">
      <c r="A159">
        <v>897170</v>
      </c>
      <c r="B159" t="s">
        <v>538</v>
      </c>
      <c r="C159" t="s">
        <v>310</v>
      </c>
      <c r="D159" t="s">
        <v>539</v>
      </c>
      <c r="O159" t="s">
        <v>313</v>
      </c>
      <c r="P159" t="s">
        <v>310</v>
      </c>
      <c r="Q159" t="s">
        <v>40</v>
      </c>
      <c r="T159" s="8">
        <v>100</v>
      </c>
      <c r="X159">
        <v>26121500</v>
      </c>
      <c r="Y159" s="8">
        <v>78.593950000000007</v>
      </c>
      <c r="Z159">
        <v>26121500</v>
      </c>
      <c r="AA159" s="8">
        <v>78.593950000000007</v>
      </c>
      <c r="AB159" t="b">
        <f t="shared" si="2"/>
        <v>0</v>
      </c>
    </row>
    <row r="160" spans="1:28" x14ac:dyDescent="0.3">
      <c r="A160">
        <v>897171</v>
      </c>
      <c r="B160" t="s">
        <v>540</v>
      </c>
      <c r="C160" t="s">
        <v>310</v>
      </c>
      <c r="D160" t="s">
        <v>541</v>
      </c>
      <c r="O160" t="s">
        <v>313</v>
      </c>
      <c r="P160" t="s">
        <v>310</v>
      </c>
      <c r="Q160" t="s">
        <v>51</v>
      </c>
      <c r="T160" s="8">
        <v>50</v>
      </c>
      <c r="X160">
        <v>26121614</v>
      </c>
      <c r="Y160" s="9">
        <v>70.171567999999994</v>
      </c>
      <c r="Z160">
        <v>26121614</v>
      </c>
      <c r="AA160" s="9">
        <v>70.171567999999994</v>
      </c>
      <c r="AB160" t="b">
        <f t="shared" si="2"/>
        <v>0</v>
      </c>
    </row>
    <row r="161" spans="1:28" x14ac:dyDescent="0.3">
      <c r="A161">
        <v>897172</v>
      </c>
      <c r="B161" t="s">
        <v>542</v>
      </c>
      <c r="C161" t="s">
        <v>293</v>
      </c>
      <c r="D161" t="s">
        <v>543</v>
      </c>
      <c r="O161" t="s">
        <v>296</v>
      </c>
      <c r="P161" t="s">
        <v>293</v>
      </c>
      <c r="Q161" t="s">
        <v>40</v>
      </c>
      <c r="T161" s="8">
        <v>100</v>
      </c>
      <c r="X161">
        <v>39131708</v>
      </c>
      <c r="Y161" s="8">
        <v>84.378624000000002</v>
      </c>
      <c r="Z161">
        <v>39131708</v>
      </c>
      <c r="AA161" s="8">
        <v>84.378624000000002</v>
      </c>
      <c r="AB161" t="b">
        <f t="shared" si="2"/>
        <v>0</v>
      </c>
    </row>
    <row r="162" spans="1:28" x14ac:dyDescent="0.3">
      <c r="A162">
        <v>897173</v>
      </c>
      <c r="B162" t="s">
        <v>544</v>
      </c>
      <c r="C162" t="s">
        <v>293</v>
      </c>
      <c r="D162" t="s">
        <v>545</v>
      </c>
      <c r="O162" t="s">
        <v>296</v>
      </c>
      <c r="P162" t="s">
        <v>293</v>
      </c>
      <c r="Q162" t="s">
        <v>40</v>
      </c>
      <c r="T162" s="8">
        <v>100</v>
      </c>
      <c r="X162">
        <v>39131700</v>
      </c>
      <c r="Y162" s="9">
        <v>84.924685999999994</v>
      </c>
      <c r="Z162">
        <v>39131700</v>
      </c>
      <c r="AA162" s="9">
        <v>84.924685999999994</v>
      </c>
      <c r="AB162" t="b">
        <f t="shared" si="2"/>
        <v>0</v>
      </c>
    </row>
    <row r="163" spans="1:28" ht="72" x14ac:dyDescent="0.3">
      <c r="A163">
        <v>897174</v>
      </c>
      <c r="B163" s="2" t="s">
        <v>546</v>
      </c>
      <c r="C163" t="s">
        <v>547</v>
      </c>
      <c r="D163" t="s">
        <v>548</v>
      </c>
      <c r="AB163" t="b">
        <f t="shared" si="2"/>
        <v>0</v>
      </c>
    </row>
    <row r="164" spans="1:28" x14ac:dyDescent="0.3">
      <c r="A164">
        <v>897175</v>
      </c>
      <c r="B164" t="s">
        <v>549</v>
      </c>
      <c r="C164" t="s">
        <v>279</v>
      </c>
      <c r="D164" t="s">
        <v>550</v>
      </c>
      <c r="O164" t="s">
        <v>45</v>
      </c>
      <c r="P164" t="s">
        <v>279</v>
      </c>
      <c r="Q164" t="s">
        <v>40</v>
      </c>
      <c r="T164" s="8">
        <v>100</v>
      </c>
      <c r="X164">
        <v>39131718</v>
      </c>
      <c r="Y164" s="8">
        <v>80.077493000000004</v>
      </c>
      <c r="Z164">
        <v>39131718</v>
      </c>
      <c r="AA164" s="8">
        <v>80.077493000000004</v>
      </c>
      <c r="AB164" t="b">
        <f t="shared" si="2"/>
        <v>0</v>
      </c>
    </row>
    <row r="165" spans="1:28" x14ac:dyDescent="0.3">
      <c r="A165">
        <v>897176</v>
      </c>
      <c r="B165" t="s">
        <v>551</v>
      </c>
      <c r="AB165" t="b">
        <f t="shared" si="2"/>
        <v>0</v>
      </c>
    </row>
    <row r="166" spans="1:28" x14ac:dyDescent="0.3">
      <c r="A166">
        <v>897177</v>
      </c>
      <c r="B166" t="s">
        <v>552</v>
      </c>
      <c r="C166" t="s">
        <v>284</v>
      </c>
      <c r="D166" t="s">
        <v>553</v>
      </c>
      <c r="G166">
        <v>265468</v>
      </c>
      <c r="H166" t="s">
        <v>554</v>
      </c>
      <c r="I166" t="s">
        <v>286</v>
      </c>
      <c r="J166" s="5">
        <v>781747091055</v>
      </c>
      <c r="K166">
        <v>31161716</v>
      </c>
      <c r="M166">
        <v>219988</v>
      </c>
      <c r="N166" t="s">
        <v>555</v>
      </c>
      <c r="O166" t="s">
        <v>286</v>
      </c>
      <c r="P166" t="s">
        <v>284</v>
      </c>
      <c r="Q166" t="s">
        <v>40</v>
      </c>
      <c r="R166" s="9">
        <v>0.83749871536589104</v>
      </c>
      <c r="S166" s="9">
        <v>99.374935768294506</v>
      </c>
      <c r="T166" s="8">
        <v>100</v>
      </c>
      <c r="U166" s="8">
        <v>100</v>
      </c>
      <c r="V166" t="s">
        <v>286</v>
      </c>
      <c r="W166" s="8">
        <v>93.822270000000003</v>
      </c>
      <c r="X166">
        <v>31161716</v>
      </c>
      <c r="Y166" s="8">
        <v>93.822270000000003</v>
      </c>
      <c r="Z166">
        <v>31161716</v>
      </c>
      <c r="AA166" s="8">
        <v>92.526721499999994</v>
      </c>
      <c r="AB166" t="b">
        <f t="shared" si="2"/>
        <v>1</v>
      </c>
    </row>
    <row r="167" spans="1:28" x14ac:dyDescent="0.3">
      <c r="A167">
        <v>897178</v>
      </c>
      <c r="B167" t="s">
        <v>556</v>
      </c>
      <c r="C167" t="s">
        <v>284</v>
      </c>
      <c r="D167">
        <v>325</v>
      </c>
      <c r="O167" t="s">
        <v>286</v>
      </c>
      <c r="P167" t="s">
        <v>284</v>
      </c>
      <c r="Q167" t="s">
        <v>40</v>
      </c>
      <c r="T167" s="8">
        <v>100</v>
      </c>
      <c r="V167" t="s">
        <v>286</v>
      </c>
      <c r="W167" s="8">
        <v>87.449600000000004</v>
      </c>
      <c r="X167">
        <v>39121312</v>
      </c>
      <c r="Y167" s="9">
        <v>58.2997333333333</v>
      </c>
      <c r="Z167">
        <v>39121312</v>
      </c>
      <c r="AA167" s="9">
        <v>58.2997333333333</v>
      </c>
      <c r="AB167" t="b">
        <f t="shared" si="2"/>
        <v>0</v>
      </c>
    </row>
    <row r="168" spans="1:28" x14ac:dyDescent="0.3">
      <c r="A168">
        <v>897179</v>
      </c>
      <c r="B168" t="s">
        <v>557</v>
      </c>
      <c r="AB168" t="b">
        <f t="shared" si="2"/>
        <v>0</v>
      </c>
    </row>
    <row r="169" spans="1:28" x14ac:dyDescent="0.3">
      <c r="A169">
        <v>897180</v>
      </c>
      <c r="B169" t="s">
        <v>558</v>
      </c>
      <c r="C169" t="s">
        <v>340</v>
      </c>
      <c r="D169" t="s">
        <v>559</v>
      </c>
      <c r="G169">
        <v>337083</v>
      </c>
      <c r="H169" t="s">
        <v>559</v>
      </c>
      <c r="I169" t="s">
        <v>343</v>
      </c>
      <c r="J169" s="5">
        <v>783510597504</v>
      </c>
      <c r="K169">
        <v>39121311</v>
      </c>
      <c r="L169" t="s">
        <v>560</v>
      </c>
      <c r="M169">
        <v>269584</v>
      </c>
      <c r="N169" t="s">
        <v>561</v>
      </c>
      <c r="O169" t="s">
        <v>343</v>
      </c>
      <c r="P169" t="s">
        <v>340</v>
      </c>
      <c r="Q169" t="s">
        <v>51</v>
      </c>
      <c r="R169" s="9">
        <v>0.99526304691689904</v>
      </c>
      <c r="S169" s="9">
        <v>97.263152345844901</v>
      </c>
      <c r="T169" s="9">
        <v>81.263152345844901</v>
      </c>
      <c r="U169" s="8">
        <v>100</v>
      </c>
      <c r="V169" t="s">
        <v>343</v>
      </c>
      <c r="W169" s="9">
        <v>99.528544999999994</v>
      </c>
      <c r="X169">
        <v>39121311</v>
      </c>
      <c r="Y169" s="9">
        <v>99.528544999999994</v>
      </c>
      <c r="Z169">
        <v>39121311</v>
      </c>
      <c r="AA169" s="9">
        <v>99.528544999999994</v>
      </c>
      <c r="AB169" t="b">
        <f t="shared" si="2"/>
        <v>0</v>
      </c>
    </row>
    <row r="170" spans="1:28" x14ac:dyDescent="0.3">
      <c r="A170">
        <v>897181</v>
      </c>
      <c r="B170" t="s">
        <v>562</v>
      </c>
      <c r="O170" t="s">
        <v>96</v>
      </c>
      <c r="P170" t="s">
        <v>96</v>
      </c>
      <c r="Q170" t="s">
        <v>40</v>
      </c>
      <c r="T170" s="8">
        <v>80</v>
      </c>
      <c r="AB170" t="b">
        <f t="shared" si="2"/>
        <v>0</v>
      </c>
    </row>
    <row r="171" spans="1:28" x14ac:dyDescent="0.3">
      <c r="A171">
        <v>897182</v>
      </c>
      <c r="B171" t="s">
        <v>563</v>
      </c>
      <c r="O171" t="s">
        <v>96</v>
      </c>
      <c r="P171" t="s">
        <v>96</v>
      </c>
      <c r="Q171" t="s">
        <v>40</v>
      </c>
      <c r="T171" s="8">
        <v>80</v>
      </c>
      <c r="AB171" t="b">
        <f t="shared" si="2"/>
        <v>0</v>
      </c>
    </row>
    <row r="172" spans="1:28" x14ac:dyDescent="0.3">
      <c r="A172">
        <v>897183</v>
      </c>
      <c r="B172" t="s">
        <v>564</v>
      </c>
      <c r="D172" t="s">
        <v>565</v>
      </c>
      <c r="AB172" t="b">
        <f t="shared" si="2"/>
        <v>0</v>
      </c>
    </row>
    <row r="173" spans="1:28" x14ac:dyDescent="0.3">
      <c r="A173">
        <v>897185</v>
      </c>
      <c r="B173" t="s">
        <v>566</v>
      </c>
      <c r="D173" t="s">
        <v>567</v>
      </c>
      <c r="AB173" t="b">
        <f t="shared" si="2"/>
        <v>0</v>
      </c>
    </row>
    <row r="174" spans="1:28" x14ac:dyDescent="0.3">
      <c r="A174">
        <v>897187</v>
      </c>
      <c r="B174" t="s">
        <v>568</v>
      </c>
      <c r="O174" t="s">
        <v>569</v>
      </c>
      <c r="P174" t="s">
        <v>569</v>
      </c>
      <c r="Q174" t="s">
        <v>40</v>
      </c>
      <c r="T174" s="8">
        <v>95</v>
      </c>
      <c r="X174">
        <v>43223328</v>
      </c>
      <c r="Y174" s="9">
        <v>77.265953999999994</v>
      </c>
      <c r="Z174">
        <v>43223328</v>
      </c>
      <c r="AA174" s="9">
        <v>77.265953999999994</v>
      </c>
      <c r="AB174" t="b">
        <f t="shared" si="2"/>
        <v>0</v>
      </c>
    </row>
    <row r="175" spans="1:28" x14ac:dyDescent="0.3">
      <c r="A175">
        <v>897189</v>
      </c>
      <c r="B175" t="s">
        <v>570</v>
      </c>
      <c r="C175" t="s">
        <v>571</v>
      </c>
      <c r="D175" t="s">
        <v>572</v>
      </c>
      <c r="O175" t="s">
        <v>573</v>
      </c>
      <c r="P175" t="s">
        <v>571</v>
      </c>
      <c r="Q175" t="s">
        <v>40</v>
      </c>
      <c r="T175" s="8">
        <v>100</v>
      </c>
      <c r="AB175" t="b">
        <f t="shared" si="2"/>
        <v>0</v>
      </c>
    </row>
    <row r="176" spans="1:28" x14ac:dyDescent="0.3">
      <c r="A176">
        <v>897190</v>
      </c>
      <c r="B176" t="s">
        <v>574</v>
      </c>
      <c r="C176" t="s">
        <v>575</v>
      </c>
      <c r="D176" t="s">
        <v>576</v>
      </c>
      <c r="G176">
        <v>341906</v>
      </c>
      <c r="H176" t="s">
        <v>577</v>
      </c>
      <c r="I176" t="s">
        <v>578</v>
      </c>
      <c r="J176" s="6" t="s">
        <v>579</v>
      </c>
      <c r="K176">
        <v>43223300</v>
      </c>
      <c r="L176" t="s">
        <v>580</v>
      </c>
      <c r="M176">
        <v>268110</v>
      </c>
      <c r="N176" t="s">
        <v>581</v>
      </c>
      <c r="O176" t="s">
        <v>578</v>
      </c>
      <c r="P176" t="s">
        <v>575</v>
      </c>
      <c r="Q176" t="s">
        <v>40</v>
      </c>
      <c r="R176" s="9">
        <v>0.917547447237822</v>
      </c>
      <c r="S176" s="8">
        <v>100</v>
      </c>
      <c r="T176" s="8">
        <v>100</v>
      </c>
      <c r="U176" s="8">
        <v>100</v>
      </c>
      <c r="V176" t="s">
        <v>578</v>
      </c>
      <c r="W176" s="8">
        <v>92.382807</v>
      </c>
      <c r="X176">
        <v>43223300</v>
      </c>
      <c r="Y176" s="8">
        <v>73.906245600000005</v>
      </c>
      <c r="Z176">
        <v>43223300</v>
      </c>
      <c r="AA176" s="8">
        <v>73.906245600000005</v>
      </c>
      <c r="AB176" t="b">
        <f t="shared" si="2"/>
        <v>0</v>
      </c>
    </row>
    <row r="177" spans="1:28" x14ac:dyDescent="0.3">
      <c r="A177">
        <v>897192</v>
      </c>
      <c r="B177" t="s">
        <v>582</v>
      </c>
      <c r="C177" t="s">
        <v>583</v>
      </c>
      <c r="D177" t="s">
        <v>584</v>
      </c>
      <c r="O177" t="s">
        <v>585</v>
      </c>
      <c r="P177" t="s">
        <v>583</v>
      </c>
      <c r="Q177" t="s">
        <v>40</v>
      </c>
      <c r="T177" s="8">
        <v>100</v>
      </c>
      <c r="AB177" t="b">
        <f t="shared" si="2"/>
        <v>0</v>
      </c>
    </row>
    <row r="178" spans="1:28" x14ac:dyDescent="0.3">
      <c r="A178">
        <v>897193</v>
      </c>
      <c r="B178" t="s">
        <v>586</v>
      </c>
      <c r="C178" t="s">
        <v>587</v>
      </c>
      <c r="D178" t="s">
        <v>588</v>
      </c>
      <c r="O178" t="s">
        <v>589</v>
      </c>
      <c r="P178" t="s">
        <v>589</v>
      </c>
      <c r="Q178" t="s">
        <v>40</v>
      </c>
      <c r="T178" s="8">
        <v>95</v>
      </c>
      <c r="AB178" t="b">
        <f t="shared" si="2"/>
        <v>0</v>
      </c>
    </row>
    <row r="179" spans="1:28" x14ac:dyDescent="0.3">
      <c r="A179">
        <v>897195</v>
      </c>
      <c r="B179" t="s">
        <v>590</v>
      </c>
      <c r="C179" t="s">
        <v>408</v>
      </c>
      <c r="D179" t="s">
        <v>591</v>
      </c>
      <c r="E179" t="s">
        <v>592</v>
      </c>
      <c r="G179">
        <v>211186</v>
      </c>
      <c r="H179" t="s">
        <v>591</v>
      </c>
      <c r="I179" t="s">
        <v>321</v>
      </c>
      <c r="J179" s="5">
        <v>781002168461</v>
      </c>
      <c r="K179">
        <v>31161609</v>
      </c>
      <c r="M179">
        <v>44750</v>
      </c>
      <c r="N179" t="s">
        <v>593</v>
      </c>
      <c r="O179" t="s">
        <v>321</v>
      </c>
      <c r="P179" t="s">
        <v>408</v>
      </c>
      <c r="Q179" t="s">
        <v>40</v>
      </c>
      <c r="R179" s="9">
        <v>0.95122908534344297</v>
      </c>
      <c r="S179" s="8">
        <v>100</v>
      </c>
      <c r="T179" s="8">
        <v>100</v>
      </c>
      <c r="U179" s="8">
        <v>100</v>
      </c>
      <c r="V179" t="s">
        <v>321</v>
      </c>
      <c r="W179" s="9">
        <v>98.135585000000006</v>
      </c>
      <c r="X179">
        <v>31161609</v>
      </c>
      <c r="Y179" s="9">
        <v>98.135585000000006</v>
      </c>
      <c r="Z179">
        <v>31161609</v>
      </c>
      <c r="AA179" s="8">
        <v>98.135585000000006</v>
      </c>
      <c r="AB179" t="b">
        <f t="shared" si="2"/>
        <v>0</v>
      </c>
    </row>
    <row r="180" spans="1:28" x14ac:dyDescent="0.3">
      <c r="A180">
        <v>897196</v>
      </c>
      <c r="B180" t="s">
        <v>594</v>
      </c>
      <c r="C180" t="s">
        <v>509</v>
      </c>
      <c r="D180" t="s">
        <v>595</v>
      </c>
      <c r="E180" t="s">
        <v>596</v>
      </c>
      <c r="G180">
        <v>336605</v>
      </c>
      <c r="H180" t="s">
        <v>597</v>
      </c>
      <c r="I180" t="s">
        <v>144</v>
      </c>
      <c r="J180" s="6" t="s">
        <v>598</v>
      </c>
      <c r="K180">
        <v>31201500</v>
      </c>
      <c r="L180" t="s">
        <v>596</v>
      </c>
      <c r="M180">
        <v>269354</v>
      </c>
      <c r="N180" t="s">
        <v>599</v>
      </c>
      <c r="O180" t="s">
        <v>144</v>
      </c>
      <c r="P180" t="s">
        <v>144</v>
      </c>
      <c r="Q180" t="s">
        <v>40</v>
      </c>
      <c r="R180" s="9">
        <v>0.95635668481057201</v>
      </c>
      <c r="S180" s="8">
        <v>100</v>
      </c>
      <c r="T180" s="8">
        <v>100</v>
      </c>
      <c r="U180" s="8">
        <v>100</v>
      </c>
      <c r="V180" t="s">
        <v>144</v>
      </c>
      <c r="W180" s="8">
        <v>95.818185999999997</v>
      </c>
      <c r="X180">
        <v>31201502</v>
      </c>
      <c r="Y180" s="8">
        <v>92.279730000000001</v>
      </c>
      <c r="Z180">
        <v>31201500</v>
      </c>
      <c r="AA180" s="9">
        <v>95.818185999999997</v>
      </c>
      <c r="AB180" t="b">
        <f t="shared" si="2"/>
        <v>0</v>
      </c>
    </row>
    <row r="181" spans="1:28" x14ac:dyDescent="0.3">
      <c r="A181">
        <v>897197</v>
      </c>
      <c r="B181" t="s">
        <v>600</v>
      </c>
      <c r="C181" t="s">
        <v>601</v>
      </c>
      <c r="D181">
        <v>31086</v>
      </c>
      <c r="E181" t="s">
        <v>602</v>
      </c>
      <c r="G181">
        <v>297577</v>
      </c>
      <c r="H181">
        <v>31086</v>
      </c>
      <c r="I181" t="s">
        <v>603</v>
      </c>
      <c r="J181" s="5">
        <v>783250310869</v>
      </c>
      <c r="K181">
        <v>27113101</v>
      </c>
      <c r="M181">
        <v>101803</v>
      </c>
      <c r="N181" t="s">
        <v>604</v>
      </c>
      <c r="O181" t="s">
        <v>603</v>
      </c>
      <c r="Q181" t="s">
        <v>75</v>
      </c>
      <c r="R181" s="9">
        <v>0.43503139567156102</v>
      </c>
      <c r="S181" s="9">
        <v>44.251569783577999</v>
      </c>
      <c r="T181" s="9">
        <v>20.251569783577999</v>
      </c>
      <c r="U181" s="8">
        <v>0</v>
      </c>
      <c r="X181">
        <v>39121703</v>
      </c>
      <c r="Y181" s="8">
        <v>77.837192999999999</v>
      </c>
      <c r="Z181">
        <v>39121703</v>
      </c>
      <c r="AA181" s="8">
        <v>77.836219999999997</v>
      </c>
      <c r="AB181" t="b">
        <f t="shared" si="2"/>
        <v>0</v>
      </c>
    </row>
    <row r="182" spans="1:28" x14ac:dyDescent="0.3">
      <c r="A182">
        <v>897199</v>
      </c>
      <c r="B182" t="s">
        <v>605</v>
      </c>
      <c r="C182" t="s">
        <v>606</v>
      </c>
      <c r="D182" t="s">
        <v>607</v>
      </c>
      <c r="O182" t="s">
        <v>608</v>
      </c>
      <c r="P182" t="s">
        <v>606</v>
      </c>
      <c r="Q182" t="s">
        <v>40</v>
      </c>
      <c r="T182" s="8">
        <v>100</v>
      </c>
      <c r="X182">
        <v>43223326</v>
      </c>
      <c r="Y182" s="8">
        <v>77.510210000000001</v>
      </c>
      <c r="Z182">
        <v>43223326</v>
      </c>
      <c r="AA182" s="9">
        <v>77.504539999999906</v>
      </c>
      <c r="AB182" t="b">
        <f t="shared" si="2"/>
        <v>0</v>
      </c>
    </row>
    <row r="183" spans="1:28" x14ac:dyDescent="0.3">
      <c r="A183">
        <v>897200</v>
      </c>
      <c r="B183" t="s">
        <v>609</v>
      </c>
      <c r="C183" t="s">
        <v>610</v>
      </c>
      <c r="D183" t="s">
        <v>611</v>
      </c>
      <c r="O183" t="s">
        <v>612</v>
      </c>
      <c r="P183" t="s">
        <v>610</v>
      </c>
      <c r="Q183" t="s">
        <v>40</v>
      </c>
      <c r="T183" s="8">
        <v>100</v>
      </c>
      <c r="AB183" t="b">
        <f t="shared" si="2"/>
        <v>0</v>
      </c>
    </row>
    <row r="184" spans="1:28" x14ac:dyDescent="0.3">
      <c r="A184">
        <v>897201</v>
      </c>
      <c r="B184" t="s">
        <v>613</v>
      </c>
      <c r="C184" t="s">
        <v>610</v>
      </c>
      <c r="D184" t="s">
        <v>614</v>
      </c>
      <c r="O184" t="s">
        <v>612</v>
      </c>
      <c r="P184" t="s">
        <v>610</v>
      </c>
      <c r="Q184" t="s">
        <v>40</v>
      </c>
      <c r="T184" s="8">
        <v>100</v>
      </c>
      <c r="AB184" t="b">
        <f t="shared" si="2"/>
        <v>0</v>
      </c>
    </row>
    <row r="185" spans="1:28" x14ac:dyDescent="0.3">
      <c r="A185">
        <v>897202</v>
      </c>
      <c r="B185" t="s">
        <v>615</v>
      </c>
      <c r="C185" t="s">
        <v>616</v>
      </c>
      <c r="D185" t="s">
        <v>617</v>
      </c>
      <c r="O185" t="s">
        <v>313</v>
      </c>
      <c r="P185" t="s">
        <v>616</v>
      </c>
      <c r="Q185" t="s">
        <v>51</v>
      </c>
      <c r="T185" s="8">
        <v>50</v>
      </c>
      <c r="X185">
        <v>26121645</v>
      </c>
      <c r="Y185" s="9">
        <v>75.858519999999899</v>
      </c>
      <c r="Z185">
        <v>26121645</v>
      </c>
      <c r="AA185" s="9">
        <v>75.858519999999899</v>
      </c>
      <c r="AB185" t="b">
        <f t="shared" si="2"/>
        <v>0</v>
      </c>
    </row>
    <row r="186" spans="1:28" x14ac:dyDescent="0.3">
      <c r="A186">
        <v>897203</v>
      </c>
      <c r="B186" t="s">
        <v>618</v>
      </c>
      <c r="C186" t="s">
        <v>610</v>
      </c>
      <c r="D186" t="s">
        <v>619</v>
      </c>
      <c r="E186" t="s">
        <v>620</v>
      </c>
      <c r="O186" t="s">
        <v>612</v>
      </c>
      <c r="P186" t="s">
        <v>610</v>
      </c>
      <c r="Q186" t="s">
        <v>40</v>
      </c>
      <c r="T186" s="8">
        <v>100</v>
      </c>
      <c r="X186">
        <v>39121320</v>
      </c>
      <c r="Y186" s="8">
        <v>78.295135000000002</v>
      </c>
      <c r="Z186">
        <v>39121320</v>
      </c>
      <c r="AA186" s="8">
        <v>78.295135000000002</v>
      </c>
      <c r="AB186" t="b">
        <f t="shared" si="2"/>
        <v>0</v>
      </c>
    </row>
    <row r="187" spans="1:28" x14ac:dyDescent="0.3">
      <c r="A187">
        <v>897206</v>
      </c>
      <c r="B187" t="s">
        <v>621</v>
      </c>
      <c r="C187" t="s">
        <v>622</v>
      </c>
      <c r="D187" t="s">
        <v>623</v>
      </c>
      <c r="O187" t="s">
        <v>622</v>
      </c>
      <c r="P187" t="s">
        <v>622</v>
      </c>
      <c r="Q187" t="s">
        <v>40</v>
      </c>
      <c r="T187" s="8">
        <v>60</v>
      </c>
      <c r="AB187" t="b">
        <f t="shared" si="2"/>
        <v>0</v>
      </c>
    </row>
    <row r="188" spans="1:28" x14ac:dyDescent="0.3">
      <c r="A188">
        <v>897207</v>
      </c>
      <c r="B188" t="s">
        <v>624</v>
      </c>
      <c r="C188" t="s">
        <v>622</v>
      </c>
      <c r="D188" t="s">
        <v>625</v>
      </c>
      <c r="O188" t="s">
        <v>622</v>
      </c>
      <c r="P188" t="s">
        <v>622</v>
      </c>
      <c r="Q188" t="s">
        <v>40</v>
      </c>
      <c r="T188" s="8">
        <v>60</v>
      </c>
      <c r="AB188" t="b">
        <f t="shared" si="2"/>
        <v>0</v>
      </c>
    </row>
    <row r="189" spans="1:28" x14ac:dyDescent="0.3">
      <c r="A189">
        <v>897208</v>
      </c>
      <c r="B189" t="s">
        <v>626</v>
      </c>
      <c r="C189" t="s">
        <v>310</v>
      </c>
      <c r="D189" t="s">
        <v>627</v>
      </c>
      <c r="O189" t="s">
        <v>313</v>
      </c>
      <c r="P189" t="s">
        <v>310</v>
      </c>
      <c r="Q189" t="s">
        <v>40</v>
      </c>
      <c r="T189" s="8">
        <v>100</v>
      </c>
      <c r="AB189" t="b">
        <f t="shared" si="2"/>
        <v>0</v>
      </c>
    </row>
    <row r="190" spans="1:28" x14ac:dyDescent="0.3">
      <c r="A190">
        <v>897209</v>
      </c>
      <c r="B190" t="s">
        <v>628</v>
      </c>
      <c r="C190" t="s">
        <v>629</v>
      </c>
      <c r="D190" t="s">
        <v>630</v>
      </c>
      <c r="O190" t="s">
        <v>631</v>
      </c>
      <c r="P190" t="s">
        <v>629</v>
      </c>
      <c r="Q190" t="s">
        <v>40</v>
      </c>
      <c r="T190" s="8">
        <v>100</v>
      </c>
      <c r="X190">
        <v>39130000</v>
      </c>
      <c r="Y190" s="8">
        <v>46.311128400000001</v>
      </c>
      <c r="Z190">
        <v>39130000</v>
      </c>
      <c r="AA190" s="8">
        <v>46.311128400000001</v>
      </c>
      <c r="AB190" t="b">
        <f t="shared" si="2"/>
        <v>0</v>
      </c>
    </row>
    <row r="191" spans="1:28" x14ac:dyDescent="0.3">
      <c r="A191">
        <v>897210</v>
      </c>
      <c r="B191" t="s">
        <v>632</v>
      </c>
      <c r="C191" t="s">
        <v>633</v>
      </c>
      <c r="D191" t="s">
        <v>634</v>
      </c>
      <c r="O191" t="s">
        <v>131</v>
      </c>
      <c r="P191" t="s">
        <v>635</v>
      </c>
      <c r="Q191" t="s">
        <v>40</v>
      </c>
      <c r="T191" s="8">
        <v>100</v>
      </c>
      <c r="X191">
        <v>39122200</v>
      </c>
      <c r="Y191" s="8">
        <v>65.096699999999998</v>
      </c>
      <c r="Z191">
        <v>39122200</v>
      </c>
      <c r="AA191" s="8">
        <v>65.096699999999998</v>
      </c>
      <c r="AB191" t="b">
        <f t="shared" si="2"/>
        <v>0</v>
      </c>
    </row>
    <row r="192" spans="1:28" x14ac:dyDescent="0.3">
      <c r="A192">
        <v>897211</v>
      </c>
      <c r="B192" t="s">
        <v>636</v>
      </c>
      <c r="C192" t="s">
        <v>629</v>
      </c>
      <c r="D192" t="s">
        <v>211</v>
      </c>
      <c r="E192" t="s">
        <v>212</v>
      </c>
      <c r="O192" t="s">
        <v>631</v>
      </c>
      <c r="P192" t="s">
        <v>629</v>
      </c>
      <c r="Q192" t="s">
        <v>40</v>
      </c>
      <c r="T192" s="8">
        <v>100</v>
      </c>
      <c r="X192">
        <v>39131500</v>
      </c>
      <c r="Y192" s="9">
        <v>45.970314000000002</v>
      </c>
      <c r="Z192">
        <v>39131500</v>
      </c>
      <c r="AA192" s="9">
        <v>45.970314000000002</v>
      </c>
      <c r="AB192" t="b">
        <f t="shared" si="2"/>
        <v>0</v>
      </c>
    </row>
    <row r="193" spans="1:28" x14ac:dyDescent="0.3">
      <c r="A193">
        <v>897212</v>
      </c>
      <c r="B193" t="s">
        <v>637</v>
      </c>
      <c r="C193" t="s">
        <v>279</v>
      </c>
      <c r="D193" t="s">
        <v>638</v>
      </c>
      <c r="E193" t="s">
        <v>639</v>
      </c>
      <c r="O193" t="s">
        <v>45</v>
      </c>
      <c r="P193" t="s">
        <v>279</v>
      </c>
      <c r="Q193" t="s">
        <v>40</v>
      </c>
      <c r="T193" s="8">
        <v>100</v>
      </c>
      <c r="AB193" t="b">
        <f t="shared" si="2"/>
        <v>0</v>
      </c>
    </row>
    <row r="194" spans="1:28" x14ac:dyDescent="0.3">
      <c r="A194">
        <v>897213</v>
      </c>
      <c r="B194" t="s">
        <v>640</v>
      </c>
      <c r="C194" t="s">
        <v>641</v>
      </c>
      <c r="O194" t="s">
        <v>642</v>
      </c>
      <c r="P194" t="s">
        <v>641</v>
      </c>
      <c r="Q194" t="s">
        <v>40</v>
      </c>
      <c r="T194" s="8">
        <v>100</v>
      </c>
      <c r="AB194" t="b">
        <f t="shared" si="2"/>
        <v>0</v>
      </c>
    </row>
    <row r="195" spans="1:28" x14ac:dyDescent="0.3">
      <c r="A195">
        <v>897214</v>
      </c>
      <c r="B195" t="s">
        <v>643</v>
      </c>
      <c r="C195" t="s">
        <v>293</v>
      </c>
      <c r="D195" t="s">
        <v>644</v>
      </c>
      <c r="E195" t="s">
        <v>645</v>
      </c>
      <c r="G195">
        <v>337819</v>
      </c>
      <c r="H195" t="s">
        <v>644</v>
      </c>
      <c r="I195" t="s">
        <v>308</v>
      </c>
      <c r="J195" s="5">
        <v>784564900500</v>
      </c>
      <c r="K195">
        <v>39121420</v>
      </c>
      <c r="L195" t="s">
        <v>645</v>
      </c>
      <c r="M195">
        <v>255543</v>
      </c>
      <c r="N195" t="s">
        <v>646</v>
      </c>
      <c r="O195" t="s">
        <v>308</v>
      </c>
      <c r="Q195" t="s">
        <v>75</v>
      </c>
      <c r="R195" s="9">
        <v>0.90532694469291897</v>
      </c>
      <c r="S195" s="9">
        <v>77.766347234645906</v>
      </c>
      <c r="T195" s="9">
        <v>49.766347234645899</v>
      </c>
      <c r="U195" s="9">
        <v>93.065388938583794</v>
      </c>
      <c r="V195" t="s">
        <v>308</v>
      </c>
      <c r="W195" s="8">
        <v>91.837810000000005</v>
      </c>
      <c r="X195">
        <v>39121420</v>
      </c>
      <c r="Y195" s="8">
        <v>73.081187999999997</v>
      </c>
      <c r="Z195">
        <v>39121420</v>
      </c>
      <c r="AA195" s="8">
        <v>73.081187999999997</v>
      </c>
      <c r="AB195" t="b">
        <f t="shared" ref="AB195:AB258" si="3">(AA195-Y195)&lt;-1</f>
        <v>0</v>
      </c>
    </row>
    <row r="196" spans="1:28" x14ac:dyDescent="0.3">
      <c r="A196">
        <v>897215</v>
      </c>
      <c r="B196" t="s">
        <v>647</v>
      </c>
      <c r="C196" t="s">
        <v>293</v>
      </c>
      <c r="D196" t="s">
        <v>648</v>
      </c>
      <c r="E196" t="s">
        <v>649</v>
      </c>
      <c r="G196">
        <v>101977</v>
      </c>
      <c r="H196" t="s">
        <v>648</v>
      </c>
      <c r="I196" t="s">
        <v>221</v>
      </c>
      <c r="J196" s="5">
        <v>784297323201</v>
      </c>
      <c r="K196">
        <v>39131708</v>
      </c>
      <c r="M196">
        <v>16460</v>
      </c>
      <c r="N196" t="s">
        <v>650</v>
      </c>
      <c r="O196" t="s">
        <v>221</v>
      </c>
      <c r="Q196" t="s">
        <v>75</v>
      </c>
      <c r="R196" s="9">
        <v>0.55125912543043498</v>
      </c>
      <c r="S196" s="9">
        <v>50.062956271521699</v>
      </c>
      <c r="T196" s="9">
        <v>26.062956271521699</v>
      </c>
      <c r="U196" s="9">
        <v>16.251825086087099</v>
      </c>
      <c r="V196" t="s">
        <v>308</v>
      </c>
      <c r="W196" s="8">
        <v>91.814892999999998</v>
      </c>
      <c r="X196">
        <v>39121420</v>
      </c>
      <c r="Y196" s="8">
        <v>72.218776000000005</v>
      </c>
      <c r="Z196">
        <v>39121420</v>
      </c>
      <c r="AA196" s="8">
        <v>72.218776000000005</v>
      </c>
      <c r="AB196" t="b">
        <f t="shared" si="3"/>
        <v>0</v>
      </c>
    </row>
    <row r="197" spans="1:28" x14ac:dyDescent="0.3">
      <c r="A197">
        <v>897216</v>
      </c>
      <c r="B197" t="s">
        <v>651</v>
      </c>
      <c r="C197" t="s">
        <v>641</v>
      </c>
      <c r="O197" t="s">
        <v>642</v>
      </c>
      <c r="P197" t="s">
        <v>641</v>
      </c>
      <c r="Q197" t="s">
        <v>40</v>
      </c>
      <c r="T197" s="8">
        <v>100</v>
      </c>
      <c r="AB197" t="b">
        <f t="shared" si="3"/>
        <v>0</v>
      </c>
    </row>
    <row r="198" spans="1:28" x14ac:dyDescent="0.3">
      <c r="A198">
        <v>897217</v>
      </c>
      <c r="B198" t="s">
        <v>652</v>
      </c>
      <c r="C198" t="s">
        <v>653</v>
      </c>
      <c r="D198" t="s">
        <v>654</v>
      </c>
      <c r="E198" t="s">
        <v>655</v>
      </c>
      <c r="O198" t="s">
        <v>656</v>
      </c>
      <c r="P198" t="s">
        <v>653</v>
      </c>
      <c r="Q198" t="s">
        <v>40</v>
      </c>
      <c r="T198" s="8">
        <v>100</v>
      </c>
      <c r="V198" t="s">
        <v>131</v>
      </c>
      <c r="W198" s="8">
        <v>51.564116400000003</v>
      </c>
      <c r="X198">
        <v>39121601</v>
      </c>
      <c r="Y198" s="8">
        <v>85.940194000000005</v>
      </c>
      <c r="Z198">
        <v>39121601</v>
      </c>
      <c r="AA198" s="8">
        <v>85.940194000000005</v>
      </c>
      <c r="AB198" t="b">
        <f t="shared" si="3"/>
        <v>0</v>
      </c>
    </row>
    <row r="199" spans="1:28" x14ac:dyDescent="0.3">
      <c r="A199">
        <v>897218</v>
      </c>
      <c r="B199" t="s">
        <v>657</v>
      </c>
      <c r="C199" t="s">
        <v>509</v>
      </c>
      <c r="D199" t="s">
        <v>658</v>
      </c>
      <c r="E199" t="s">
        <v>659</v>
      </c>
      <c r="G199">
        <v>336306</v>
      </c>
      <c r="H199" t="s">
        <v>660</v>
      </c>
      <c r="I199" t="s">
        <v>144</v>
      </c>
      <c r="J199" s="6" t="s">
        <v>661</v>
      </c>
      <c r="K199">
        <v>39121703</v>
      </c>
      <c r="L199" t="s">
        <v>659</v>
      </c>
      <c r="M199">
        <v>269253</v>
      </c>
      <c r="N199" t="s">
        <v>662</v>
      </c>
      <c r="O199" t="s">
        <v>144</v>
      </c>
      <c r="P199" t="s">
        <v>144</v>
      </c>
      <c r="Q199" t="s">
        <v>40</v>
      </c>
      <c r="R199" s="8">
        <v>0.99170545899084905</v>
      </c>
      <c r="S199" s="8">
        <v>100</v>
      </c>
      <c r="T199" s="8">
        <v>100</v>
      </c>
      <c r="U199" s="8">
        <v>100</v>
      </c>
      <c r="V199" t="s">
        <v>144</v>
      </c>
      <c r="W199" s="9">
        <v>99.177365999999907</v>
      </c>
      <c r="X199">
        <v>39121703</v>
      </c>
      <c r="Y199" s="9">
        <v>99.177365999999907</v>
      </c>
      <c r="Z199">
        <v>39121703</v>
      </c>
      <c r="AA199" s="8">
        <v>99.177366000000006</v>
      </c>
      <c r="AB199" t="b">
        <f t="shared" si="3"/>
        <v>0</v>
      </c>
    </row>
    <row r="200" spans="1:28" x14ac:dyDescent="0.3">
      <c r="A200">
        <v>897219</v>
      </c>
      <c r="B200" t="s">
        <v>663</v>
      </c>
      <c r="C200" t="s">
        <v>653</v>
      </c>
      <c r="D200" t="s">
        <v>664</v>
      </c>
      <c r="E200" t="s">
        <v>665</v>
      </c>
      <c r="O200" t="s">
        <v>656</v>
      </c>
      <c r="P200" t="s">
        <v>653</v>
      </c>
      <c r="Q200" t="s">
        <v>40</v>
      </c>
      <c r="T200" s="8">
        <v>100</v>
      </c>
      <c r="X200">
        <v>39121601</v>
      </c>
      <c r="Y200" s="8">
        <v>86.318820000000002</v>
      </c>
      <c r="Z200">
        <v>39121601</v>
      </c>
      <c r="AA200" s="8">
        <v>86.320809999999994</v>
      </c>
      <c r="AB200" t="b">
        <f t="shared" si="3"/>
        <v>0</v>
      </c>
    </row>
    <row r="201" spans="1:28" x14ac:dyDescent="0.3">
      <c r="A201">
        <v>897220</v>
      </c>
      <c r="B201" t="s">
        <v>666</v>
      </c>
      <c r="C201" t="s">
        <v>629</v>
      </c>
      <c r="D201" t="s">
        <v>667</v>
      </c>
      <c r="E201" t="s">
        <v>668</v>
      </c>
      <c r="G201">
        <v>341219</v>
      </c>
      <c r="H201" t="s">
        <v>669</v>
      </c>
      <c r="I201" t="s">
        <v>631</v>
      </c>
      <c r="J201" s="6" t="s">
        <v>670</v>
      </c>
      <c r="K201">
        <v>39121717</v>
      </c>
      <c r="L201" t="s">
        <v>668</v>
      </c>
      <c r="M201">
        <v>273102</v>
      </c>
      <c r="N201" t="s">
        <v>671</v>
      </c>
      <c r="O201" t="s">
        <v>631</v>
      </c>
      <c r="P201" t="s">
        <v>629</v>
      </c>
      <c r="Q201" t="s">
        <v>40</v>
      </c>
      <c r="R201" s="9">
        <v>0.985151213133166</v>
      </c>
      <c r="S201" s="8">
        <v>100</v>
      </c>
      <c r="T201" s="8">
        <v>100</v>
      </c>
      <c r="U201" s="8">
        <v>100</v>
      </c>
      <c r="V201" t="s">
        <v>631</v>
      </c>
      <c r="W201" s="9">
        <v>98.536855000000003</v>
      </c>
      <c r="X201">
        <v>39121717</v>
      </c>
      <c r="Y201" s="9">
        <v>98.536855000000003</v>
      </c>
      <c r="Z201">
        <v>39121717</v>
      </c>
      <c r="AA201" s="8">
        <v>98.536855000000003</v>
      </c>
      <c r="AB201" t="b">
        <f t="shared" si="3"/>
        <v>0</v>
      </c>
    </row>
    <row r="202" spans="1:28" x14ac:dyDescent="0.3">
      <c r="A202">
        <v>897221</v>
      </c>
      <c r="B202" t="s">
        <v>672</v>
      </c>
      <c r="C202" t="s">
        <v>673</v>
      </c>
      <c r="D202" t="s">
        <v>674</v>
      </c>
      <c r="O202" t="s">
        <v>675</v>
      </c>
      <c r="P202" t="s">
        <v>676</v>
      </c>
      <c r="Q202" t="s">
        <v>40</v>
      </c>
      <c r="T202" s="8">
        <v>100</v>
      </c>
      <c r="X202">
        <v>39111620</v>
      </c>
      <c r="Y202" s="8">
        <v>75.398105000000001</v>
      </c>
      <c r="Z202">
        <v>39111620</v>
      </c>
      <c r="AA202" s="8">
        <v>75.398105000000001</v>
      </c>
      <c r="AB202" t="b">
        <f t="shared" si="3"/>
        <v>0</v>
      </c>
    </row>
    <row r="203" spans="1:28" x14ac:dyDescent="0.3">
      <c r="A203">
        <v>897222</v>
      </c>
      <c r="B203" t="s">
        <v>677</v>
      </c>
      <c r="C203" t="s">
        <v>310</v>
      </c>
      <c r="D203" t="s">
        <v>678</v>
      </c>
      <c r="E203" t="s">
        <v>679</v>
      </c>
      <c r="O203" t="s">
        <v>313</v>
      </c>
      <c r="P203" t="s">
        <v>310</v>
      </c>
      <c r="Q203" t="s">
        <v>40</v>
      </c>
      <c r="T203" s="8">
        <v>100</v>
      </c>
      <c r="X203">
        <v>26121600</v>
      </c>
      <c r="Y203" s="8">
        <v>56.763057750000002</v>
      </c>
      <c r="Z203">
        <v>26121600</v>
      </c>
      <c r="AA203" s="8">
        <v>56.774345250000003</v>
      </c>
      <c r="AB203" t="b">
        <f t="shared" si="3"/>
        <v>0</v>
      </c>
    </row>
    <row r="204" spans="1:28" x14ac:dyDescent="0.3">
      <c r="A204">
        <v>897223</v>
      </c>
      <c r="B204" t="s">
        <v>680</v>
      </c>
      <c r="C204" t="s">
        <v>681</v>
      </c>
      <c r="D204" t="s">
        <v>682</v>
      </c>
      <c r="O204" t="s">
        <v>683</v>
      </c>
      <c r="P204" t="s">
        <v>681</v>
      </c>
      <c r="Q204" t="s">
        <v>40</v>
      </c>
      <c r="T204" s="8">
        <v>100</v>
      </c>
      <c r="X204">
        <v>39121624</v>
      </c>
      <c r="Y204" s="9">
        <v>80.39479</v>
      </c>
      <c r="Z204">
        <v>39121624</v>
      </c>
      <c r="AA204" s="9">
        <v>80.39479</v>
      </c>
      <c r="AB204" t="b">
        <f t="shared" si="3"/>
        <v>0</v>
      </c>
    </row>
    <row r="205" spans="1:28" x14ac:dyDescent="0.3">
      <c r="A205">
        <v>897224</v>
      </c>
      <c r="B205" t="s">
        <v>684</v>
      </c>
      <c r="C205" t="s">
        <v>411</v>
      </c>
      <c r="D205" t="s">
        <v>685</v>
      </c>
      <c r="E205" t="s">
        <v>686</v>
      </c>
      <c r="O205" t="s">
        <v>414</v>
      </c>
      <c r="P205" t="s">
        <v>411</v>
      </c>
      <c r="Q205" t="s">
        <v>40</v>
      </c>
      <c r="T205" s="8">
        <v>100</v>
      </c>
      <c r="X205">
        <v>39121405</v>
      </c>
      <c r="Y205" s="8">
        <v>78.608829999999998</v>
      </c>
      <c r="Z205">
        <v>39121405</v>
      </c>
      <c r="AA205" s="8">
        <v>78.608829999999998</v>
      </c>
      <c r="AB205" t="b">
        <f t="shared" si="3"/>
        <v>0</v>
      </c>
    </row>
    <row r="206" spans="1:28" x14ac:dyDescent="0.3">
      <c r="A206">
        <v>897225</v>
      </c>
      <c r="B206" t="s">
        <v>687</v>
      </c>
      <c r="C206" t="s">
        <v>408</v>
      </c>
      <c r="D206" t="s">
        <v>688</v>
      </c>
      <c r="E206" t="s">
        <v>689</v>
      </c>
      <c r="G206">
        <v>213799</v>
      </c>
      <c r="H206" t="s">
        <v>688</v>
      </c>
      <c r="I206" t="s">
        <v>321</v>
      </c>
      <c r="J206" s="5">
        <v>781002173656</v>
      </c>
      <c r="K206">
        <v>31201712</v>
      </c>
      <c r="M206">
        <v>209013</v>
      </c>
      <c r="N206" t="s">
        <v>690</v>
      </c>
      <c r="O206" t="s">
        <v>321</v>
      </c>
      <c r="P206" t="s">
        <v>408</v>
      </c>
      <c r="Q206" t="s">
        <v>40</v>
      </c>
      <c r="R206" s="9">
        <v>0.894460927969426</v>
      </c>
      <c r="S206" s="8">
        <v>100</v>
      </c>
      <c r="T206" s="8">
        <v>100</v>
      </c>
      <c r="U206" s="8">
        <v>100</v>
      </c>
      <c r="V206" t="s">
        <v>321</v>
      </c>
      <c r="W206" s="8">
        <v>99.996700000000004</v>
      </c>
      <c r="X206">
        <v>31201712</v>
      </c>
      <c r="Y206" s="8">
        <v>99.996700000000004</v>
      </c>
      <c r="Z206">
        <v>31201712</v>
      </c>
      <c r="AA206" s="8">
        <v>99.996700000000004</v>
      </c>
      <c r="AB206" t="b">
        <f t="shared" si="3"/>
        <v>0</v>
      </c>
    </row>
    <row r="207" spans="1:28" x14ac:dyDescent="0.3">
      <c r="A207">
        <v>897226</v>
      </c>
      <c r="B207" t="s">
        <v>691</v>
      </c>
      <c r="C207" t="s">
        <v>301</v>
      </c>
      <c r="D207">
        <v>615800</v>
      </c>
      <c r="E207" t="s">
        <v>692</v>
      </c>
      <c r="G207">
        <v>336110</v>
      </c>
      <c r="H207">
        <v>615800</v>
      </c>
      <c r="I207" t="s">
        <v>304</v>
      </c>
      <c r="J207" s="5">
        <v>782856306115</v>
      </c>
      <c r="K207">
        <v>39121613</v>
      </c>
      <c r="L207" t="s">
        <v>692</v>
      </c>
      <c r="M207">
        <v>269412</v>
      </c>
      <c r="N207" t="s">
        <v>693</v>
      </c>
      <c r="O207" t="s">
        <v>304</v>
      </c>
      <c r="P207" t="s">
        <v>301</v>
      </c>
      <c r="Q207" t="s">
        <v>40</v>
      </c>
      <c r="R207" s="8">
        <v>0.94495769687959597</v>
      </c>
      <c r="S207" s="8">
        <v>100</v>
      </c>
      <c r="T207" s="8">
        <v>100</v>
      </c>
      <c r="U207" s="8">
        <v>100</v>
      </c>
      <c r="V207" t="s">
        <v>304</v>
      </c>
      <c r="W207" s="9">
        <v>94.782929999999993</v>
      </c>
      <c r="X207">
        <v>39121613</v>
      </c>
      <c r="Y207" s="9">
        <v>94.782929999999993</v>
      </c>
      <c r="Z207">
        <v>39121613</v>
      </c>
      <c r="AA207" s="9">
        <v>93.691309999999902</v>
      </c>
      <c r="AB207" t="b">
        <f t="shared" si="3"/>
        <v>1</v>
      </c>
    </row>
    <row r="208" spans="1:28" x14ac:dyDescent="0.3">
      <c r="A208">
        <v>897227</v>
      </c>
      <c r="B208" t="s">
        <v>694</v>
      </c>
      <c r="C208" t="s">
        <v>509</v>
      </c>
      <c r="D208" t="s">
        <v>695</v>
      </c>
      <c r="E208" t="s">
        <v>696</v>
      </c>
      <c r="O208" t="s">
        <v>144</v>
      </c>
      <c r="P208" t="s">
        <v>144</v>
      </c>
      <c r="Q208" t="s">
        <v>40</v>
      </c>
      <c r="T208" s="8">
        <v>60</v>
      </c>
      <c r="V208" t="s">
        <v>144</v>
      </c>
      <c r="W208" s="8">
        <v>87.768142999999995</v>
      </c>
      <c r="X208">
        <v>31201502</v>
      </c>
      <c r="Y208" s="8">
        <v>87.484074000000007</v>
      </c>
      <c r="Z208">
        <v>31201502</v>
      </c>
      <c r="AA208" s="8">
        <v>87.484074000000007</v>
      </c>
      <c r="AB208" t="b">
        <f t="shared" si="3"/>
        <v>0</v>
      </c>
    </row>
    <row r="209" spans="1:28" x14ac:dyDescent="0.3">
      <c r="A209">
        <v>897228</v>
      </c>
      <c r="B209" t="s">
        <v>697</v>
      </c>
      <c r="C209" t="s">
        <v>509</v>
      </c>
      <c r="D209" t="s">
        <v>698</v>
      </c>
      <c r="E209" t="s">
        <v>699</v>
      </c>
      <c r="O209" t="s">
        <v>144</v>
      </c>
      <c r="P209" t="s">
        <v>144</v>
      </c>
      <c r="Q209" t="s">
        <v>40</v>
      </c>
      <c r="T209" s="8">
        <v>60</v>
      </c>
      <c r="V209" t="s">
        <v>144</v>
      </c>
      <c r="W209" s="8">
        <v>93.261449999999996</v>
      </c>
      <c r="X209">
        <v>31201502</v>
      </c>
      <c r="Y209" s="8">
        <v>92.893870000000007</v>
      </c>
      <c r="Z209">
        <v>31201502</v>
      </c>
      <c r="AA209" s="8">
        <v>92.893870000000007</v>
      </c>
      <c r="AB209" t="b">
        <f t="shared" si="3"/>
        <v>0</v>
      </c>
    </row>
    <row r="210" spans="1:28" x14ac:dyDescent="0.3">
      <c r="A210">
        <v>897229</v>
      </c>
      <c r="B210" t="s">
        <v>700</v>
      </c>
      <c r="C210" t="s">
        <v>701</v>
      </c>
      <c r="D210" t="s">
        <v>702</v>
      </c>
      <c r="E210" t="s">
        <v>703</v>
      </c>
      <c r="G210">
        <v>336592</v>
      </c>
      <c r="H210">
        <v>30454</v>
      </c>
      <c r="I210" t="s">
        <v>603</v>
      </c>
      <c r="J210" s="5">
        <v>783250304547</v>
      </c>
      <c r="K210">
        <v>39121445</v>
      </c>
      <c r="L210" t="s">
        <v>703</v>
      </c>
      <c r="M210">
        <v>269244</v>
      </c>
      <c r="N210" t="s">
        <v>704</v>
      </c>
      <c r="O210" t="s">
        <v>603</v>
      </c>
      <c r="P210" t="s">
        <v>701</v>
      </c>
      <c r="Q210" t="s">
        <v>40</v>
      </c>
      <c r="R210" s="8">
        <v>0.96247938565126401</v>
      </c>
      <c r="S210" s="8">
        <v>100</v>
      </c>
      <c r="T210" s="8">
        <v>100</v>
      </c>
      <c r="U210" s="8">
        <v>100</v>
      </c>
      <c r="V210" t="s">
        <v>603</v>
      </c>
      <c r="W210" s="8">
        <v>96.383624999999995</v>
      </c>
      <c r="X210">
        <v>39121445</v>
      </c>
      <c r="Y210" s="8">
        <v>96.383624999999995</v>
      </c>
      <c r="Z210">
        <v>39121445</v>
      </c>
      <c r="AA210" s="8">
        <v>96.383624999999995</v>
      </c>
      <c r="AB210" t="b">
        <f t="shared" si="3"/>
        <v>0</v>
      </c>
    </row>
    <row r="211" spans="1:28" x14ac:dyDescent="0.3">
      <c r="A211">
        <v>897230</v>
      </c>
      <c r="B211" t="s">
        <v>705</v>
      </c>
      <c r="C211" t="s">
        <v>411</v>
      </c>
      <c r="D211" t="s">
        <v>706</v>
      </c>
      <c r="E211" t="s">
        <v>707</v>
      </c>
      <c r="G211">
        <v>337455</v>
      </c>
      <c r="H211" t="s">
        <v>706</v>
      </c>
      <c r="I211" t="s">
        <v>414</v>
      </c>
      <c r="J211" s="5">
        <v>781810230961</v>
      </c>
      <c r="K211">
        <v>39121613</v>
      </c>
      <c r="L211" t="s">
        <v>707</v>
      </c>
      <c r="M211">
        <v>269450</v>
      </c>
      <c r="N211" t="s">
        <v>708</v>
      </c>
      <c r="O211" t="s">
        <v>414</v>
      </c>
      <c r="P211" t="s">
        <v>411</v>
      </c>
      <c r="Q211" t="s">
        <v>40</v>
      </c>
      <c r="R211" s="9">
        <v>0.97514994228076401</v>
      </c>
      <c r="S211" s="9">
        <v>28.899780289604202</v>
      </c>
      <c r="T211" s="9">
        <v>54.899780289604202</v>
      </c>
      <c r="U211" s="8">
        <v>100</v>
      </c>
      <c r="V211" t="s">
        <v>414</v>
      </c>
      <c r="W211" s="8">
        <v>97.575239999999994</v>
      </c>
      <c r="X211">
        <v>39121613</v>
      </c>
      <c r="Y211" s="8">
        <v>97.575239999999994</v>
      </c>
      <c r="Z211">
        <v>39121613</v>
      </c>
      <c r="AA211" s="8">
        <v>97.575239999999994</v>
      </c>
      <c r="AB211" t="b">
        <f t="shared" si="3"/>
        <v>0</v>
      </c>
    </row>
    <row r="212" spans="1:28" x14ac:dyDescent="0.3">
      <c r="A212">
        <v>897231</v>
      </c>
      <c r="B212" t="s">
        <v>709</v>
      </c>
      <c r="C212" t="s">
        <v>310</v>
      </c>
      <c r="D212" t="s">
        <v>710</v>
      </c>
      <c r="E212" t="s">
        <v>711</v>
      </c>
      <c r="O212" t="s">
        <v>313</v>
      </c>
      <c r="P212" t="s">
        <v>310</v>
      </c>
      <c r="Q212" t="s">
        <v>40</v>
      </c>
      <c r="T212" s="8">
        <v>100</v>
      </c>
      <c r="AB212" t="b">
        <f t="shared" si="3"/>
        <v>0</v>
      </c>
    </row>
    <row r="213" spans="1:28" x14ac:dyDescent="0.3">
      <c r="A213">
        <v>897232</v>
      </c>
      <c r="B213" t="s">
        <v>712</v>
      </c>
      <c r="C213" t="s">
        <v>713</v>
      </c>
      <c r="D213" t="s">
        <v>714</v>
      </c>
      <c r="E213" t="s">
        <v>715</v>
      </c>
      <c r="O213" t="s">
        <v>716</v>
      </c>
      <c r="P213" t="s">
        <v>713</v>
      </c>
      <c r="Q213" t="s">
        <v>40</v>
      </c>
      <c r="T213" s="8">
        <v>100</v>
      </c>
      <c r="X213">
        <v>31201700</v>
      </c>
      <c r="Y213" s="9">
        <v>82.787329999999997</v>
      </c>
      <c r="Z213">
        <v>31201700</v>
      </c>
      <c r="AA213" s="9">
        <v>82.787329999999997</v>
      </c>
      <c r="AB213" t="b">
        <f t="shared" si="3"/>
        <v>0</v>
      </c>
    </row>
    <row r="214" spans="1:28" x14ac:dyDescent="0.3">
      <c r="A214">
        <v>897233</v>
      </c>
      <c r="B214" t="s">
        <v>717</v>
      </c>
      <c r="C214" t="s">
        <v>509</v>
      </c>
      <c r="D214" t="s">
        <v>718</v>
      </c>
      <c r="E214" t="s">
        <v>719</v>
      </c>
      <c r="G214">
        <v>342152</v>
      </c>
      <c r="H214" t="s">
        <v>720</v>
      </c>
      <c r="I214" t="s">
        <v>144</v>
      </c>
      <c r="J214" s="6" t="s">
        <v>721</v>
      </c>
      <c r="K214">
        <v>31211704</v>
      </c>
      <c r="L214" t="s">
        <v>719</v>
      </c>
      <c r="M214">
        <v>273103</v>
      </c>
      <c r="N214" t="s">
        <v>722</v>
      </c>
      <c r="O214" t="s">
        <v>144</v>
      </c>
      <c r="P214" t="s">
        <v>144</v>
      </c>
      <c r="Q214" t="s">
        <v>40</v>
      </c>
      <c r="R214" s="9">
        <v>0.99360616127575396</v>
      </c>
      <c r="S214" s="8">
        <v>100</v>
      </c>
      <c r="T214" s="8">
        <v>100</v>
      </c>
      <c r="U214" s="8">
        <v>100</v>
      </c>
      <c r="V214" t="s">
        <v>144</v>
      </c>
      <c r="W214" s="9">
        <v>99.364685999999907</v>
      </c>
      <c r="Z214">
        <v>31211704</v>
      </c>
      <c r="AA214" s="8">
        <v>99.364789999999999</v>
      </c>
      <c r="AB214" t="b">
        <f t="shared" si="3"/>
        <v>0</v>
      </c>
    </row>
    <row r="215" spans="1:28" x14ac:dyDescent="0.3">
      <c r="A215">
        <v>897235</v>
      </c>
      <c r="B215" t="s">
        <v>723</v>
      </c>
      <c r="C215" t="s">
        <v>724</v>
      </c>
      <c r="D215" t="s">
        <v>725</v>
      </c>
      <c r="E215" t="s">
        <v>726</v>
      </c>
      <c r="G215">
        <v>337271</v>
      </c>
      <c r="H215" t="s">
        <v>727</v>
      </c>
      <c r="I215" t="s">
        <v>728</v>
      </c>
      <c r="J215" s="5">
        <v>662820899648</v>
      </c>
      <c r="K215">
        <v>39131504</v>
      </c>
      <c r="L215" t="s">
        <v>726</v>
      </c>
      <c r="M215">
        <v>270901</v>
      </c>
      <c r="N215" t="s">
        <v>729</v>
      </c>
      <c r="O215" t="s">
        <v>728</v>
      </c>
      <c r="P215" t="s">
        <v>724</v>
      </c>
      <c r="Q215" t="s">
        <v>40</v>
      </c>
      <c r="R215" s="9">
        <v>0.94754933319499601</v>
      </c>
      <c r="S215" s="8">
        <v>100</v>
      </c>
      <c r="T215" s="8">
        <v>100</v>
      </c>
      <c r="U215" s="8">
        <v>100</v>
      </c>
      <c r="V215" t="s">
        <v>728</v>
      </c>
      <c r="W215" s="9">
        <v>95.016329999999996</v>
      </c>
      <c r="X215">
        <v>39131504</v>
      </c>
      <c r="Y215" s="9">
        <v>76.013064</v>
      </c>
      <c r="Z215">
        <v>39131504</v>
      </c>
      <c r="AA215" s="9">
        <v>95.016329999999996</v>
      </c>
      <c r="AB215" t="b">
        <f t="shared" si="3"/>
        <v>0</v>
      </c>
    </row>
    <row r="216" spans="1:28" x14ac:dyDescent="0.3">
      <c r="A216">
        <v>897236</v>
      </c>
      <c r="B216" t="s">
        <v>730</v>
      </c>
      <c r="C216" t="s">
        <v>439</v>
      </c>
      <c r="D216" t="s">
        <v>731</v>
      </c>
      <c r="E216" t="s">
        <v>732</v>
      </c>
      <c r="G216">
        <v>336447</v>
      </c>
      <c r="H216">
        <v>48390572</v>
      </c>
      <c r="I216" t="s">
        <v>164</v>
      </c>
      <c r="J216" s="6" t="s">
        <v>733</v>
      </c>
      <c r="K216">
        <v>27112802</v>
      </c>
      <c r="L216" t="s">
        <v>732</v>
      </c>
      <c r="M216">
        <v>264042</v>
      </c>
      <c r="N216" t="s">
        <v>734</v>
      </c>
      <c r="O216" t="s">
        <v>164</v>
      </c>
      <c r="P216" t="s">
        <v>439</v>
      </c>
      <c r="Q216" t="s">
        <v>40</v>
      </c>
      <c r="R216" s="9">
        <v>0.96841667723059299</v>
      </c>
      <c r="S216" s="8">
        <v>100</v>
      </c>
      <c r="T216" s="8">
        <v>100</v>
      </c>
      <c r="U216" s="8">
        <v>100</v>
      </c>
      <c r="V216" t="s">
        <v>164</v>
      </c>
      <c r="W216" s="8">
        <v>96.938379999999995</v>
      </c>
      <c r="X216">
        <v>27112802</v>
      </c>
      <c r="Y216" s="8">
        <v>96.938379999999995</v>
      </c>
      <c r="Z216">
        <v>27112802</v>
      </c>
      <c r="AA216" s="8">
        <v>96.938379999999995</v>
      </c>
      <c r="AB216" t="b">
        <f t="shared" si="3"/>
        <v>0</v>
      </c>
    </row>
    <row r="217" spans="1:28" x14ac:dyDescent="0.3">
      <c r="A217">
        <v>897237</v>
      </c>
      <c r="B217" t="s">
        <v>735</v>
      </c>
      <c r="C217" t="s">
        <v>736</v>
      </c>
      <c r="D217" t="s">
        <v>737</v>
      </c>
      <c r="O217" t="s">
        <v>738</v>
      </c>
      <c r="P217" t="s">
        <v>736</v>
      </c>
      <c r="Q217" t="s">
        <v>40</v>
      </c>
      <c r="T217" s="8">
        <v>100</v>
      </c>
      <c r="X217">
        <v>26111702</v>
      </c>
      <c r="Y217" s="9">
        <v>82.858159999999998</v>
      </c>
      <c r="Z217">
        <v>26111702</v>
      </c>
      <c r="AA217" s="9">
        <v>82.858159999999998</v>
      </c>
      <c r="AB217" t="b">
        <f t="shared" si="3"/>
        <v>0</v>
      </c>
    </row>
    <row r="218" spans="1:28" x14ac:dyDescent="0.3">
      <c r="A218">
        <v>897238</v>
      </c>
      <c r="B218" t="s">
        <v>739</v>
      </c>
      <c r="C218" t="s">
        <v>293</v>
      </c>
      <c r="D218" t="s">
        <v>740</v>
      </c>
      <c r="E218" t="s">
        <v>741</v>
      </c>
      <c r="G218">
        <v>337871</v>
      </c>
      <c r="H218" t="s">
        <v>740</v>
      </c>
      <c r="I218" t="s">
        <v>308</v>
      </c>
      <c r="J218" s="5">
        <v>786189104288</v>
      </c>
      <c r="K218">
        <v>39121320</v>
      </c>
      <c r="L218" t="s">
        <v>741</v>
      </c>
      <c r="M218">
        <v>255672</v>
      </c>
      <c r="N218" t="s">
        <v>742</v>
      </c>
      <c r="O218" t="s">
        <v>308</v>
      </c>
      <c r="Q218" t="s">
        <v>75</v>
      </c>
      <c r="R218" s="8">
        <v>0.93074593602498401</v>
      </c>
      <c r="S218" s="8">
        <v>74.037296801249198</v>
      </c>
      <c r="T218" s="8">
        <v>48.037296801249198</v>
      </c>
      <c r="U218" s="9">
        <v>95.149187204996693</v>
      </c>
      <c r="V218" t="s">
        <v>308</v>
      </c>
      <c r="W218" s="9">
        <v>93.523129999999995</v>
      </c>
      <c r="X218">
        <v>39121320</v>
      </c>
      <c r="Y218" s="8">
        <v>93.523129999999995</v>
      </c>
      <c r="Z218">
        <v>39121320</v>
      </c>
      <c r="AA218" s="8">
        <v>93.077735000000004</v>
      </c>
      <c r="AB218" t="b">
        <f t="shared" si="3"/>
        <v>0</v>
      </c>
    </row>
    <row r="219" spans="1:28" ht="72" x14ac:dyDescent="0.3">
      <c r="A219">
        <v>897239</v>
      </c>
      <c r="B219" s="2" t="s">
        <v>743</v>
      </c>
      <c r="C219" t="s">
        <v>394</v>
      </c>
      <c r="D219" t="s">
        <v>744</v>
      </c>
      <c r="E219" t="s">
        <v>745</v>
      </c>
      <c r="O219" t="s">
        <v>746</v>
      </c>
      <c r="P219" t="s">
        <v>394</v>
      </c>
      <c r="Q219" t="s">
        <v>40</v>
      </c>
      <c r="T219" s="8">
        <v>100</v>
      </c>
      <c r="V219" t="s">
        <v>397</v>
      </c>
      <c r="W219" s="8">
        <v>90.883076000000003</v>
      </c>
      <c r="X219">
        <v>39121406</v>
      </c>
      <c r="Y219" s="8">
        <v>90.883076000000003</v>
      </c>
      <c r="Z219">
        <v>39121406</v>
      </c>
      <c r="AA219" s="8">
        <v>90.883076000000003</v>
      </c>
      <c r="AB219" t="b">
        <f t="shared" si="3"/>
        <v>0</v>
      </c>
    </row>
    <row r="220" spans="1:28" x14ac:dyDescent="0.3">
      <c r="A220">
        <v>897240</v>
      </c>
      <c r="B220" t="s">
        <v>297</v>
      </c>
      <c r="C220" t="s">
        <v>279</v>
      </c>
      <c r="D220" t="s">
        <v>298</v>
      </c>
      <c r="E220" t="s">
        <v>299</v>
      </c>
      <c r="O220" t="s">
        <v>45</v>
      </c>
      <c r="P220" t="s">
        <v>279</v>
      </c>
      <c r="Q220" t="s">
        <v>40</v>
      </c>
      <c r="T220" s="8">
        <v>100</v>
      </c>
      <c r="X220">
        <v>39131706</v>
      </c>
      <c r="Y220" s="9">
        <v>57.811867499999998</v>
      </c>
      <c r="Z220">
        <v>39131706</v>
      </c>
      <c r="AA220" s="9">
        <v>57.811867499999998</v>
      </c>
      <c r="AB220" t="b">
        <f t="shared" si="3"/>
        <v>0</v>
      </c>
    </row>
    <row r="221" spans="1:28" x14ac:dyDescent="0.3">
      <c r="A221">
        <v>897241</v>
      </c>
      <c r="B221" t="s">
        <v>314</v>
      </c>
      <c r="C221" t="s">
        <v>279</v>
      </c>
      <c r="D221" t="s">
        <v>315</v>
      </c>
      <c r="E221" t="s">
        <v>44</v>
      </c>
      <c r="O221" t="s">
        <v>45</v>
      </c>
      <c r="P221" t="s">
        <v>279</v>
      </c>
      <c r="Q221" t="s">
        <v>40</v>
      </c>
      <c r="T221" s="8">
        <v>100</v>
      </c>
      <c r="X221">
        <v>39131708</v>
      </c>
      <c r="Y221" s="9">
        <v>61.340546399999901</v>
      </c>
      <c r="Z221">
        <v>39131708</v>
      </c>
      <c r="AA221" s="9">
        <v>61.340546399999901</v>
      </c>
      <c r="AB221" t="b">
        <f t="shared" si="3"/>
        <v>0</v>
      </c>
    </row>
    <row r="222" spans="1:28" x14ac:dyDescent="0.3">
      <c r="A222">
        <v>897242</v>
      </c>
      <c r="B222" t="s">
        <v>747</v>
      </c>
      <c r="C222" t="s">
        <v>293</v>
      </c>
      <c r="D222" t="s">
        <v>748</v>
      </c>
      <c r="E222" t="s">
        <v>749</v>
      </c>
      <c r="G222">
        <v>336381</v>
      </c>
      <c r="H222" t="s">
        <v>748</v>
      </c>
      <c r="I222" t="s">
        <v>308</v>
      </c>
      <c r="J222" s="5">
        <v>786189104035</v>
      </c>
      <c r="K222">
        <v>39121308</v>
      </c>
      <c r="L222" t="s">
        <v>749</v>
      </c>
      <c r="M222">
        <v>255654</v>
      </c>
      <c r="N222" t="s">
        <v>750</v>
      </c>
      <c r="O222" t="s">
        <v>308</v>
      </c>
      <c r="Q222" t="s">
        <v>75</v>
      </c>
      <c r="R222" s="9">
        <v>0.90187655278202095</v>
      </c>
      <c r="S222" s="8">
        <v>72.593827639101093</v>
      </c>
      <c r="T222" s="9">
        <v>46.593827639101001</v>
      </c>
      <c r="U222" s="9">
        <v>89.375310556404301</v>
      </c>
      <c r="V222" t="s">
        <v>308</v>
      </c>
      <c r="W222" s="8">
        <v>91.064453</v>
      </c>
      <c r="X222">
        <v>39121308</v>
      </c>
      <c r="Y222" s="8">
        <v>91.064453</v>
      </c>
      <c r="Z222">
        <v>39121308</v>
      </c>
      <c r="AA222" s="9">
        <v>90.616811499999997</v>
      </c>
      <c r="AB222" t="b">
        <f t="shared" si="3"/>
        <v>0</v>
      </c>
    </row>
    <row r="223" spans="1:28" x14ac:dyDescent="0.3">
      <c r="A223">
        <v>897243</v>
      </c>
      <c r="B223" t="s">
        <v>751</v>
      </c>
      <c r="C223" t="s">
        <v>293</v>
      </c>
      <c r="D223" t="s">
        <v>752</v>
      </c>
      <c r="E223" t="s">
        <v>753</v>
      </c>
      <c r="G223">
        <v>336383</v>
      </c>
      <c r="H223" t="s">
        <v>752</v>
      </c>
      <c r="I223" t="s">
        <v>308</v>
      </c>
      <c r="J223" s="5">
        <v>786189104721</v>
      </c>
      <c r="K223">
        <v>39121304</v>
      </c>
      <c r="L223" t="s">
        <v>753</v>
      </c>
      <c r="M223">
        <v>255692</v>
      </c>
      <c r="N223" t="s">
        <v>754</v>
      </c>
      <c r="O223" t="s">
        <v>308</v>
      </c>
      <c r="Q223" t="s">
        <v>75</v>
      </c>
      <c r="R223" s="9">
        <v>0.98621653083317495</v>
      </c>
      <c r="S223" s="9">
        <v>76.810826541658699</v>
      </c>
      <c r="T223" s="9">
        <v>50.810826541658699</v>
      </c>
      <c r="U223" s="8">
        <v>100</v>
      </c>
      <c r="V223" t="s">
        <v>308</v>
      </c>
      <c r="W223" s="9">
        <v>98.640393999999901</v>
      </c>
      <c r="X223">
        <v>39121304</v>
      </c>
      <c r="Y223" s="9">
        <v>98.640393999999901</v>
      </c>
      <c r="Z223">
        <v>39121304</v>
      </c>
      <c r="AA223" s="8">
        <v>98.640394000000001</v>
      </c>
      <c r="AB223" t="b">
        <f t="shared" si="3"/>
        <v>0</v>
      </c>
    </row>
    <row r="224" spans="1:28" x14ac:dyDescent="0.3">
      <c r="A224">
        <v>897244</v>
      </c>
      <c r="B224" t="s">
        <v>755</v>
      </c>
      <c r="C224" t="s">
        <v>293</v>
      </c>
      <c r="D224" t="s">
        <v>756</v>
      </c>
      <c r="E224" t="s">
        <v>757</v>
      </c>
      <c r="O224" t="s">
        <v>296</v>
      </c>
      <c r="P224" t="s">
        <v>293</v>
      </c>
      <c r="Q224" t="s">
        <v>40</v>
      </c>
      <c r="T224" s="8">
        <v>100</v>
      </c>
      <c r="V224" t="s">
        <v>308</v>
      </c>
      <c r="W224" s="8">
        <v>93.449162999999999</v>
      </c>
      <c r="X224">
        <v>39121320</v>
      </c>
      <c r="Y224" s="8">
        <v>93.449162999999999</v>
      </c>
      <c r="Z224">
        <v>39121320</v>
      </c>
      <c r="AA224" s="8">
        <v>93.063589500000006</v>
      </c>
      <c r="AB224" t="b">
        <f t="shared" si="3"/>
        <v>0</v>
      </c>
    </row>
    <row r="225" spans="1:28" ht="100.8" x14ac:dyDescent="0.3">
      <c r="A225">
        <v>897245</v>
      </c>
      <c r="B225" s="2" t="s">
        <v>758</v>
      </c>
      <c r="C225" t="s">
        <v>759</v>
      </c>
      <c r="D225" t="s">
        <v>760</v>
      </c>
      <c r="V225" t="s">
        <v>761</v>
      </c>
      <c r="W225" s="8">
        <v>87.381523999999999</v>
      </c>
      <c r="X225">
        <v>39122236</v>
      </c>
      <c r="Y225" s="8">
        <v>65.536142999999996</v>
      </c>
      <c r="Z225">
        <v>39122236</v>
      </c>
      <c r="AA225" s="8">
        <v>65.536142999999996</v>
      </c>
      <c r="AB225" t="b">
        <f t="shared" si="3"/>
        <v>0</v>
      </c>
    </row>
    <row r="226" spans="1:28" x14ac:dyDescent="0.3">
      <c r="A226">
        <v>897246</v>
      </c>
      <c r="B226" t="s">
        <v>762</v>
      </c>
      <c r="C226" t="s">
        <v>293</v>
      </c>
      <c r="D226" t="s">
        <v>763</v>
      </c>
      <c r="E226" t="s">
        <v>764</v>
      </c>
      <c r="O226" t="s">
        <v>296</v>
      </c>
      <c r="P226" t="s">
        <v>293</v>
      </c>
      <c r="Q226" t="s">
        <v>51</v>
      </c>
      <c r="T226" s="8">
        <v>50</v>
      </c>
      <c r="V226" t="s">
        <v>308</v>
      </c>
      <c r="W226" s="8">
        <v>85.721517000000006</v>
      </c>
      <c r="X226">
        <v>39121434</v>
      </c>
      <c r="Y226" s="8">
        <v>85.721517000000006</v>
      </c>
      <c r="Z226">
        <v>39121434</v>
      </c>
      <c r="AA226" s="8">
        <v>85.721517000000006</v>
      </c>
      <c r="AB226" t="b">
        <f t="shared" si="3"/>
        <v>0</v>
      </c>
    </row>
    <row r="227" spans="1:28" x14ac:dyDescent="0.3">
      <c r="A227">
        <v>897247</v>
      </c>
      <c r="B227" t="s">
        <v>306</v>
      </c>
      <c r="C227" t="s">
        <v>293</v>
      </c>
      <c r="D227">
        <v>451</v>
      </c>
      <c r="E227" t="s">
        <v>307</v>
      </c>
      <c r="O227" t="s">
        <v>296</v>
      </c>
      <c r="P227" t="s">
        <v>293</v>
      </c>
      <c r="Q227" t="s">
        <v>51</v>
      </c>
      <c r="T227" s="8">
        <v>50</v>
      </c>
      <c r="V227" t="s">
        <v>308</v>
      </c>
      <c r="W227" s="9">
        <v>86.733989999999906</v>
      </c>
      <c r="X227">
        <v>39121434</v>
      </c>
      <c r="Y227" s="9">
        <v>52.040393999999999</v>
      </c>
      <c r="Z227">
        <v>39121434</v>
      </c>
      <c r="AA227" s="9">
        <v>52.040393999999999</v>
      </c>
      <c r="AB227" t="b">
        <f t="shared" si="3"/>
        <v>0</v>
      </c>
    </row>
    <row r="228" spans="1:28" x14ac:dyDescent="0.3">
      <c r="A228">
        <v>897248</v>
      </c>
      <c r="B228" t="s">
        <v>765</v>
      </c>
      <c r="C228" t="s">
        <v>293</v>
      </c>
      <c r="D228">
        <v>460</v>
      </c>
      <c r="E228" t="s">
        <v>766</v>
      </c>
      <c r="O228" t="s">
        <v>296</v>
      </c>
      <c r="P228" t="s">
        <v>293</v>
      </c>
      <c r="Q228" t="s">
        <v>51</v>
      </c>
      <c r="T228" s="8">
        <v>50</v>
      </c>
      <c r="V228" t="s">
        <v>308</v>
      </c>
      <c r="W228" s="8">
        <v>85.150999999999996</v>
      </c>
      <c r="X228">
        <v>39131700</v>
      </c>
      <c r="Y228" s="8">
        <v>85.150999999999996</v>
      </c>
      <c r="Z228">
        <v>39131700</v>
      </c>
      <c r="AA228" s="8">
        <v>85.150999999999996</v>
      </c>
      <c r="AB228" t="b">
        <f t="shared" si="3"/>
        <v>0</v>
      </c>
    </row>
    <row r="229" spans="1:28" x14ac:dyDescent="0.3">
      <c r="A229">
        <v>897249</v>
      </c>
      <c r="B229" t="s">
        <v>767</v>
      </c>
      <c r="C229" t="s">
        <v>284</v>
      </c>
      <c r="D229" t="s">
        <v>768</v>
      </c>
      <c r="E229" t="s">
        <v>769</v>
      </c>
      <c r="G229">
        <v>335711</v>
      </c>
      <c r="H229" t="s">
        <v>770</v>
      </c>
      <c r="I229" t="s">
        <v>286</v>
      </c>
      <c r="J229" s="5">
        <v>781747009210</v>
      </c>
      <c r="K229">
        <v>39121700</v>
      </c>
      <c r="L229" t="s">
        <v>769</v>
      </c>
      <c r="M229">
        <v>269111</v>
      </c>
      <c r="N229" t="s">
        <v>771</v>
      </c>
      <c r="O229" t="s">
        <v>286</v>
      </c>
      <c r="P229" t="s">
        <v>284</v>
      </c>
      <c r="Q229" t="s">
        <v>51</v>
      </c>
      <c r="R229" s="9">
        <v>0.976698776123468</v>
      </c>
      <c r="S229" s="9">
        <v>81.334938806173398</v>
      </c>
      <c r="T229" s="9">
        <v>71.334938806173398</v>
      </c>
      <c r="U229" s="8">
        <v>100</v>
      </c>
      <c r="V229" t="s">
        <v>286</v>
      </c>
      <c r="W229" s="8">
        <v>97.722949999999997</v>
      </c>
      <c r="X229">
        <v>39121700</v>
      </c>
      <c r="Y229" s="9">
        <v>97.722949999999997</v>
      </c>
      <c r="Z229">
        <v>39121700</v>
      </c>
      <c r="AA229" s="9">
        <v>97.722949999999997</v>
      </c>
      <c r="AB229" t="b">
        <f t="shared" si="3"/>
        <v>0</v>
      </c>
    </row>
    <row r="230" spans="1:28" x14ac:dyDescent="0.3">
      <c r="A230">
        <v>897250</v>
      </c>
      <c r="B230" t="s">
        <v>772</v>
      </c>
      <c r="C230" t="s">
        <v>408</v>
      </c>
      <c r="D230" t="s">
        <v>773</v>
      </c>
      <c r="E230" t="s">
        <v>774</v>
      </c>
      <c r="G230">
        <v>335993</v>
      </c>
      <c r="H230" t="s">
        <v>773</v>
      </c>
      <c r="I230" t="s">
        <v>321</v>
      </c>
      <c r="J230" s="5">
        <v>781002252887</v>
      </c>
      <c r="K230">
        <v>31162101</v>
      </c>
      <c r="L230" t="s">
        <v>774</v>
      </c>
      <c r="M230">
        <v>261810</v>
      </c>
      <c r="N230" t="s">
        <v>775</v>
      </c>
      <c r="O230" t="s">
        <v>321</v>
      </c>
      <c r="P230" t="s">
        <v>408</v>
      </c>
      <c r="Q230" t="s">
        <v>40</v>
      </c>
      <c r="R230" s="9">
        <v>0.95128046139948397</v>
      </c>
      <c r="S230" s="8">
        <v>100</v>
      </c>
      <c r="T230" s="8">
        <v>100</v>
      </c>
      <c r="U230" s="8">
        <v>100</v>
      </c>
      <c r="V230" t="s">
        <v>321</v>
      </c>
      <c r="W230" s="8">
        <v>95.354365999999999</v>
      </c>
      <c r="X230">
        <v>31162101</v>
      </c>
      <c r="Y230" s="8">
        <v>95.354365999999999</v>
      </c>
      <c r="Z230">
        <v>31162101</v>
      </c>
      <c r="AA230" s="8">
        <v>95.354365999999999</v>
      </c>
      <c r="AB230" t="b">
        <f t="shared" si="3"/>
        <v>0</v>
      </c>
    </row>
    <row r="231" spans="1:28" x14ac:dyDescent="0.3">
      <c r="A231">
        <v>897251</v>
      </c>
      <c r="B231" t="s">
        <v>776</v>
      </c>
      <c r="C231" t="s">
        <v>777</v>
      </c>
      <c r="D231" t="s">
        <v>778</v>
      </c>
      <c r="AB231" t="b">
        <f t="shared" si="3"/>
        <v>0</v>
      </c>
    </row>
    <row r="232" spans="1:28" ht="72" x14ac:dyDescent="0.3">
      <c r="A232">
        <v>897252</v>
      </c>
      <c r="B232" s="2" t="s">
        <v>779</v>
      </c>
      <c r="C232" t="s">
        <v>777</v>
      </c>
      <c r="D232" t="s">
        <v>778</v>
      </c>
      <c r="AB232" t="b">
        <f t="shared" si="3"/>
        <v>0</v>
      </c>
    </row>
    <row r="233" spans="1:28" x14ac:dyDescent="0.3">
      <c r="A233">
        <v>897253</v>
      </c>
      <c r="B233" t="s">
        <v>780</v>
      </c>
      <c r="C233" t="s">
        <v>42</v>
      </c>
      <c r="D233">
        <v>898302</v>
      </c>
      <c r="O233" t="s">
        <v>45</v>
      </c>
      <c r="P233" t="s">
        <v>42</v>
      </c>
      <c r="Q233" t="s">
        <v>40</v>
      </c>
      <c r="T233" s="8">
        <v>60</v>
      </c>
      <c r="X233">
        <v>39121400</v>
      </c>
      <c r="Y233" s="8">
        <v>60.834944999999998</v>
      </c>
      <c r="Z233">
        <v>39121400</v>
      </c>
      <c r="AA233" s="8">
        <v>60.834944999999998</v>
      </c>
      <c r="AB233" t="b">
        <f t="shared" si="3"/>
        <v>0</v>
      </c>
    </row>
    <row r="234" spans="1:28" x14ac:dyDescent="0.3">
      <c r="A234">
        <v>897254</v>
      </c>
      <c r="B234" t="s">
        <v>781</v>
      </c>
      <c r="C234" t="s">
        <v>485</v>
      </c>
      <c r="D234" t="s">
        <v>782</v>
      </c>
      <c r="G234">
        <v>301015</v>
      </c>
      <c r="H234">
        <v>53850</v>
      </c>
      <c r="I234" t="s">
        <v>485</v>
      </c>
      <c r="J234" s="6" t="s">
        <v>783</v>
      </c>
      <c r="K234">
        <v>39121305</v>
      </c>
      <c r="M234">
        <v>239359</v>
      </c>
      <c r="N234" t="s">
        <v>784</v>
      </c>
      <c r="O234" t="s">
        <v>485</v>
      </c>
      <c r="P234" t="s">
        <v>485</v>
      </c>
      <c r="Q234" t="s">
        <v>40</v>
      </c>
      <c r="R234" s="8">
        <v>0.85802701269722104</v>
      </c>
      <c r="S234" s="9">
        <v>35.155188488171802</v>
      </c>
      <c r="T234" s="9">
        <v>60.849780694116902</v>
      </c>
      <c r="U234" s="8">
        <v>100</v>
      </c>
      <c r="V234" t="s">
        <v>485</v>
      </c>
      <c r="W234" s="9">
        <v>87.936466999999993</v>
      </c>
      <c r="X234">
        <v>39121305</v>
      </c>
      <c r="Y234" s="9">
        <v>87.936466999999993</v>
      </c>
      <c r="Z234">
        <v>39121305</v>
      </c>
      <c r="AA234" s="9">
        <v>87.936466999999993</v>
      </c>
      <c r="AB234" t="b">
        <f t="shared" si="3"/>
        <v>0</v>
      </c>
    </row>
    <row r="235" spans="1:28" x14ac:dyDescent="0.3">
      <c r="A235">
        <v>897255</v>
      </c>
      <c r="B235" t="s">
        <v>785</v>
      </c>
      <c r="C235" t="s">
        <v>485</v>
      </c>
      <c r="D235" t="s">
        <v>786</v>
      </c>
      <c r="G235">
        <v>338126</v>
      </c>
      <c r="H235" t="s">
        <v>786</v>
      </c>
      <c r="I235" t="s">
        <v>485</v>
      </c>
      <c r="J235" s="6" t="s">
        <v>787</v>
      </c>
      <c r="K235">
        <v>39121434</v>
      </c>
      <c r="L235" t="s">
        <v>788</v>
      </c>
      <c r="M235">
        <v>266433</v>
      </c>
      <c r="N235" t="s">
        <v>789</v>
      </c>
      <c r="O235" t="s">
        <v>485</v>
      </c>
      <c r="P235" t="s">
        <v>485</v>
      </c>
      <c r="Q235" t="s">
        <v>51</v>
      </c>
      <c r="R235" s="9">
        <v>0.843125032125564</v>
      </c>
      <c r="S235" s="9">
        <v>94.656251606278204</v>
      </c>
      <c r="T235" s="9">
        <v>76.656251606278204</v>
      </c>
      <c r="U235" s="8">
        <v>100</v>
      </c>
      <c r="V235" t="s">
        <v>485</v>
      </c>
      <c r="W235" s="9">
        <v>86.439789999999903</v>
      </c>
      <c r="X235">
        <v>39121434</v>
      </c>
      <c r="Y235" s="9">
        <v>86.439789999999903</v>
      </c>
      <c r="Z235">
        <v>39121434</v>
      </c>
      <c r="AA235" s="9">
        <v>86.439789999999903</v>
      </c>
      <c r="AB235" t="b">
        <f t="shared" si="3"/>
        <v>0</v>
      </c>
    </row>
    <row r="236" spans="1:28" x14ac:dyDescent="0.3">
      <c r="A236">
        <v>897256</v>
      </c>
      <c r="B236" t="s">
        <v>790</v>
      </c>
      <c r="C236" t="s">
        <v>791</v>
      </c>
      <c r="D236" t="s">
        <v>792</v>
      </c>
      <c r="G236">
        <v>340952</v>
      </c>
      <c r="H236" t="s">
        <v>793</v>
      </c>
      <c r="I236" t="s">
        <v>227</v>
      </c>
      <c r="J236" s="5">
        <v>785007036107</v>
      </c>
      <c r="K236">
        <v>39121406</v>
      </c>
      <c r="L236" t="s">
        <v>794</v>
      </c>
      <c r="M236">
        <v>265137</v>
      </c>
      <c r="N236" t="s">
        <v>795</v>
      </c>
      <c r="O236" t="s">
        <v>227</v>
      </c>
      <c r="P236" t="s">
        <v>791</v>
      </c>
      <c r="Q236" t="s">
        <v>40</v>
      </c>
      <c r="R236" s="9">
        <v>0.84459101786984003</v>
      </c>
      <c r="S236" s="8">
        <v>100</v>
      </c>
      <c r="T236" s="8">
        <v>100</v>
      </c>
      <c r="U236" s="8">
        <v>100</v>
      </c>
      <c r="V236" t="s">
        <v>227</v>
      </c>
      <c r="W236" s="8">
        <v>86.790400000000005</v>
      </c>
      <c r="X236">
        <v>39121406</v>
      </c>
      <c r="Y236" s="8">
        <v>86.790400000000005</v>
      </c>
      <c r="Z236">
        <v>39121406</v>
      </c>
      <c r="AA236" s="8">
        <v>86.831367</v>
      </c>
      <c r="AB236" t="b">
        <f t="shared" si="3"/>
        <v>0</v>
      </c>
    </row>
    <row r="237" spans="1:28" x14ac:dyDescent="0.3">
      <c r="A237">
        <v>897257</v>
      </c>
      <c r="B237" t="s">
        <v>796</v>
      </c>
      <c r="C237" t="s">
        <v>797</v>
      </c>
      <c r="D237" t="s">
        <v>798</v>
      </c>
      <c r="O237" t="s">
        <v>799</v>
      </c>
      <c r="P237" t="s">
        <v>799</v>
      </c>
      <c r="Q237" t="s">
        <v>51</v>
      </c>
      <c r="T237" s="8">
        <v>50</v>
      </c>
      <c r="X237">
        <v>31161526</v>
      </c>
      <c r="Y237" s="9">
        <v>67.428077142857106</v>
      </c>
      <c r="Z237">
        <v>31161526</v>
      </c>
      <c r="AA237" s="9">
        <v>67.428077142857106</v>
      </c>
      <c r="AB237" t="b">
        <f t="shared" si="3"/>
        <v>0</v>
      </c>
    </row>
    <row r="238" spans="1:28" x14ac:dyDescent="0.3">
      <c r="A238">
        <v>897258</v>
      </c>
      <c r="B238" t="s">
        <v>800</v>
      </c>
      <c r="C238" t="s">
        <v>801</v>
      </c>
      <c r="D238" t="s">
        <v>802</v>
      </c>
      <c r="G238">
        <v>339730</v>
      </c>
      <c r="H238" t="s">
        <v>802</v>
      </c>
      <c r="I238" t="s">
        <v>450</v>
      </c>
      <c r="J238" s="6" t="s">
        <v>803</v>
      </c>
      <c r="K238">
        <v>39121304</v>
      </c>
      <c r="L238" t="s">
        <v>804</v>
      </c>
      <c r="M238">
        <v>261249</v>
      </c>
      <c r="N238" t="s">
        <v>805</v>
      </c>
      <c r="O238" t="s">
        <v>450</v>
      </c>
      <c r="P238" t="s">
        <v>450</v>
      </c>
      <c r="Q238" t="s">
        <v>40</v>
      </c>
      <c r="R238" s="9">
        <v>0.79994906261219401</v>
      </c>
      <c r="S238" s="8">
        <v>100</v>
      </c>
      <c r="T238" s="8">
        <v>100</v>
      </c>
      <c r="U238" s="8">
        <v>100</v>
      </c>
      <c r="X238">
        <v>39121304</v>
      </c>
      <c r="Y238" s="9">
        <v>83.329799999999906</v>
      </c>
      <c r="Z238">
        <v>39121304</v>
      </c>
      <c r="AA238" s="9">
        <v>83.329799999999906</v>
      </c>
      <c r="AB238" t="b">
        <f t="shared" si="3"/>
        <v>0</v>
      </c>
    </row>
    <row r="239" spans="1:28" x14ac:dyDescent="0.3">
      <c r="A239">
        <v>897260</v>
      </c>
      <c r="B239" t="s">
        <v>806</v>
      </c>
      <c r="C239" t="s">
        <v>777</v>
      </c>
      <c r="D239" t="s">
        <v>778</v>
      </c>
      <c r="AB239" t="b">
        <f t="shared" si="3"/>
        <v>0</v>
      </c>
    </row>
    <row r="240" spans="1:28" x14ac:dyDescent="0.3">
      <c r="A240">
        <v>897261</v>
      </c>
      <c r="B240" t="s">
        <v>807</v>
      </c>
      <c r="C240" t="s">
        <v>276</v>
      </c>
      <c r="D240" t="s">
        <v>808</v>
      </c>
      <c r="E240" t="s">
        <v>201</v>
      </c>
      <c r="O240" t="s">
        <v>45</v>
      </c>
      <c r="P240" t="s">
        <v>276</v>
      </c>
      <c r="Q240" t="s">
        <v>40</v>
      </c>
      <c r="T240" s="8">
        <v>100</v>
      </c>
      <c r="X240">
        <v>39131717</v>
      </c>
      <c r="Y240" s="9">
        <v>62.870071999999901</v>
      </c>
      <c r="Z240">
        <v>39131717</v>
      </c>
      <c r="AA240" s="9">
        <v>62.870071999999901</v>
      </c>
      <c r="AB240" t="b">
        <f t="shared" si="3"/>
        <v>0</v>
      </c>
    </row>
    <row r="241" spans="1:28" x14ac:dyDescent="0.3">
      <c r="A241">
        <v>897262</v>
      </c>
      <c r="B241" t="s">
        <v>809</v>
      </c>
      <c r="C241" t="s">
        <v>276</v>
      </c>
      <c r="D241" t="s">
        <v>810</v>
      </c>
      <c r="E241" t="s">
        <v>811</v>
      </c>
      <c r="O241" t="s">
        <v>45</v>
      </c>
      <c r="P241" t="s">
        <v>276</v>
      </c>
      <c r="Q241" t="s">
        <v>40</v>
      </c>
      <c r="T241" s="8">
        <v>100</v>
      </c>
      <c r="AB241" t="b">
        <f t="shared" si="3"/>
        <v>0</v>
      </c>
    </row>
    <row r="242" spans="1:28" x14ac:dyDescent="0.3">
      <c r="A242">
        <v>897263</v>
      </c>
      <c r="B242" t="s">
        <v>812</v>
      </c>
      <c r="C242" t="s">
        <v>276</v>
      </c>
      <c r="D242" t="s">
        <v>813</v>
      </c>
      <c r="E242" t="s">
        <v>169</v>
      </c>
      <c r="O242" t="s">
        <v>45</v>
      </c>
      <c r="P242" t="s">
        <v>276</v>
      </c>
      <c r="Q242" t="s">
        <v>40</v>
      </c>
      <c r="T242" s="8">
        <v>100</v>
      </c>
      <c r="X242">
        <v>39131707</v>
      </c>
      <c r="Y242" s="9">
        <v>77.827579999999898</v>
      </c>
      <c r="Z242">
        <v>39131707</v>
      </c>
      <c r="AA242" s="9">
        <v>77.827579999999898</v>
      </c>
      <c r="AB242" t="b">
        <f t="shared" si="3"/>
        <v>0</v>
      </c>
    </row>
    <row r="243" spans="1:28" x14ac:dyDescent="0.3">
      <c r="A243">
        <v>897264</v>
      </c>
      <c r="B243" t="s">
        <v>814</v>
      </c>
      <c r="C243" t="s">
        <v>276</v>
      </c>
      <c r="D243" t="s">
        <v>815</v>
      </c>
      <c r="E243" t="s">
        <v>816</v>
      </c>
      <c r="O243" t="s">
        <v>45</v>
      </c>
      <c r="P243" t="s">
        <v>276</v>
      </c>
      <c r="Q243" t="s">
        <v>51</v>
      </c>
      <c r="T243" s="8">
        <v>50</v>
      </c>
      <c r="X243">
        <v>39131700</v>
      </c>
      <c r="Y243" s="8">
        <v>61.413296000000003</v>
      </c>
      <c r="Z243">
        <v>39131700</v>
      </c>
      <c r="AA243" s="8">
        <v>61.413296000000003</v>
      </c>
      <c r="AB243" t="b">
        <f t="shared" si="3"/>
        <v>0</v>
      </c>
    </row>
    <row r="244" spans="1:28" x14ac:dyDescent="0.3">
      <c r="A244">
        <v>897265</v>
      </c>
      <c r="B244" t="s">
        <v>817</v>
      </c>
      <c r="C244" t="s">
        <v>818</v>
      </c>
      <c r="D244" t="s">
        <v>819</v>
      </c>
      <c r="E244" t="s">
        <v>820</v>
      </c>
      <c r="O244" t="s">
        <v>821</v>
      </c>
      <c r="P244" t="s">
        <v>818</v>
      </c>
      <c r="Q244" t="s">
        <v>40</v>
      </c>
      <c r="T244" s="8">
        <v>100</v>
      </c>
      <c r="AB244" t="b">
        <f t="shared" si="3"/>
        <v>0</v>
      </c>
    </row>
    <row r="245" spans="1:28" x14ac:dyDescent="0.3">
      <c r="A245">
        <v>897266</v>
      </c>
      <c r="B245" t="s">
        <v>822</v>
      </c>
      <c r="C245" t="s">
        <v>279</v>
      </c>
      <c r="D245" t="s">
        <v>823</v>
      </c>
      <c r="E245" t="s">
        <v>824</v>
      </c>
      <c r="O245" t="s">
        <v>45</v>
      </c>
      <c r="P245" t="s">
        <v>279</v>
      </c>
      <c r="Q245" t="s">
        <v>40</v>
      </c>
      <c r="T245" s="8">
        <v>100</v>
      </c>
      <c r="X245">
        <v>39131700</v>
      </c>
      <c r="Y245" s="9">
        <v>46.235327999999903</v>
      </c>
      <c r="Z245">
        <v>39131700</v>
      </c>
      <c r="AA245" s="9">
        <v>46.235327999999903</v>
      </c>
      <c r="AB245" t="b">
        <f t="shared" si="3"/>
        <v>0</v>
      </c>
    </row>
    <row r="246" spans="1:28" x14ac:dyDescent="0.3">
      <c r="A246">
        <v>897267</v>
      </c>
      <c r="B246" t="s">
        <v>825</v>
      </c>
      <c r="C246" t="s">
        <v>276</v>
      </c>
      <c r="D246" t="s">
        <v>826</v>
      </c>
      <c r="E246" t="s">
        <v>827</v>
      </c>
      <c r="G246">
        <v>337636</v>
      </c>
      <c r="H246" t="s">
        <v>828</v>
      </c>
      <c r="I246" t="s">
        <v>821</v>
      </c>
      <c r="J246" s="6" t="s">
        <v>829</v>
      </c>
      <c r="K246">
        <v>31201617</v>
      </c>
      <c r="L246" t="s">
        <v>830</v>
      </c>
      <c r="M246">
        <v>267032</v>
      </c>
      <c r="N246" t="s">
        <v>831</v>
      </c>
      <c r="O246" t="s">
        <v>821</v>
      </c>
      <c r="Q246" t="s">
        <v>75</v>
      </c>
      <c r="R246" s="9">
        <v>0.63223243806242502</v>
      </c>
      <c r="S246" s="9">
        <v>39.1136346100838</v>
      </c>
      <c r="T246" s="9">
        <v>30.698002044198802</v>
      </c>
      <c r="U246" s="9">
        <v>38.4464876124851</v>
      </c>
      <c r="X246">
        <v>31201617</v>
      </c>
      <c r="Y246" s="8">
        <v>77.085599999999999</v>
      </c>
      <c r="Z246">
        <v>31201617</v>
      </c>
      <c r="AA246" s="8">
        <v>77.085599999999999</v>
      </c>
      <c r="AB246" t="b">
        <f t="shared" si="3"/>
        <v>0</v>
      </c>
    </row>
    <row r="247" spans="1:28" x14ac:dyDescent="0.3">
      <c r="A247">
        <v>897269</v>
      </c>
      <c r="B247" t="s">
        <v>832</v>
      </c>
      <c r="D247">
        <v>3536544</v>
      </c>
      <c r="O247" t="s">
        <v>833</v>
      </c>
      <c r="P247" t="s">
        <v>834</v>
      </c>
      <c r="Q247" t="s">
        <v>40</v>
      </c>
      <c r="T247" s="8">
        <v>95</v>
      </c>
      <c r="AB247" t="b">
        <f t="shared" si="3"/>
        <v>0</v>
      </c>
    </row>
    <row r="248" spans="1:28" x14ac:dyDescent="0.3">
      <c r="A248">
        <v>897270</v>
      </c>
      <c r="B248" t="s">
        <v>835</v>
      </c>
      <c r="D248">
        <v>3741067</v>
      </c>
      <c r="AB248" t="b">
        <f t="shared" si="3"/>
        <v>0</v>
      </c>
    </row>
    <row r="249" spans="1:28" x14ac:dyDescent="0.3">
      <c r="A249">
        <v>897271</v>
      </c>
      <c r="B249" t="s">
        <v>836</v>
      </c>
      <c r="D249">
        <v>2039231</v>
      </c>
      <c r="X249">
        <v>27112700</v>
      </c>
      <c r="Y249" s="9">
        <v>81.482129999999998</v>
      </c>
      <c r="Z249">
        <v>27112700</v>
      </c>
      <c r="AA249" s="9">
        <v>81.482129999999998</v>
      </c>
      <c r="AB249" t="b">
        <f t="shared" si="3"/>
        <v>0</v>
      </c>
    </row>
    <row r="250" spans="1:28" x14ac:dyDescent="0.3">
      <c r="A250">
        <v>897272</v>
      </c>
      <c r="B250" t="s">
        <v>837</v>
      </c>
      <c r="D250">
        <v>3417184</v>
      </c>
      <c r="G250">
        <v>200214</v>
      </c>
      <c r="H250">
        <v>1116</v>
      </c>
      <c r="I250" t="s">
        <v>838</v>
      </c>
      <c r="J250" s="5">
        <v>783669982862</v>
      </c>
      <c r="K250">
        <v>39121405</v>
      </c>
      <c r="M250">
        <v>116676</v>
      </c>
      <c r="N250" t="s">
        <v>839</v>
      </c>
      <c r="O250" t="s">
        <v>838</v>
      </c>
      <c r="Q250" t="s">
        <v>86</v>
      </c>
      <c r="R250" s="9">
        <v>0.41582072969149197</v>
      </c>
      <c r="S250" s="9">
        <v>43.291036484574597</v>
      </c>
      <c r="T250" s="9">
        <v>53.291036484574597</v>
      </c>
      <c r="U250" s="8">
        <v>0</v>
      </c>
      <c r="AB250" t="b">
        <f t="shared" si="3"/>
        <v>0</v>
      </c>
    </row>
    <row r="251" spans="1:28" x14ac:dyDescent="0.3">
      <c r="A251">
        <v>897273</v>
      </c>
      <c r="B251" t="s">
        <v>840</v>
      </c>
      <c r="D251">
        <v>2025923</v>
      </c>
      <c r="X251">
        <v>27112800</v>
      </c>
      <c r="Y251" s="9">
        <v>71.326891555555505</v>
      </c>
      <c r="Z251">
        <v>27112800</v>
      </c>
      <c r="AA251" s="9">
        <v>71.326891555555505</v>
      </c>
      <c r="AB251" t="b">
        <f t="shared" si="3"/>
        <v>0</v>
      </c>
    </row>
    <row r="252" spans="1:28" x14ac:dyDescent="0.3">
      <c r="A252">
        <v>897274</v>
      </c>
      <c r="B252" t="s">
        <v>841</v>
      </c>
      <c r="D252">
        <v>2018443</v>
      </c>
      <c r="X252">
        <v>39121613</v>
      </c>
      <c r="Y252" s="9">
        <v>47.5349375999999</v>
      </c>
      <c r="Z252">
        <v>39121613</v>
      </c>
      <c r="AA252" s="9">
        <v>47.5349375999999</v>
      </c>
      <c r="AB252" t="b">
        <f t="shared" si="3"/>
        <v>0</v>
      </c>
    </row>
    <row r="253" spans="1:28" x14ac:dyDescent="0.3">
      <c r="A253">
        <v>897275</v>
      </c>
      <c r="B253" t="s">
        <v>842</v>
      </c>
      <c r="D253">
        <v>3785337</v>
      </c>
      <c r="V253" t="s">
        <v>843</v>
      </c>
      <c r="W253" s="8">
        <v>51.428493000000003</v>
      </c>
      <c r="X253">
        <v>23231202</v>
      </c>
      <c r="Y253" s="8">
        <v>51.428493000000003</v>
      </c>
      <c r="Z253">
        <v>23231202</v>
      </c>
      <c r="AA253" s="8">
        <v>51.428493000000003</v>
      </c>
      <c r="AB253" t="b">
        <f t="shared" si="3"/>
        <v>0</v>
      </c>
    </row>
    <row r="254" spans="1:28" x14ac:dyDescent="0.3">
      <c r="A254">
        <v>897276</v>
      </c>
      <c r="B254" t="s">
        <v>844</v>
      </c>
      <c r="D254">
        <v>2210260</v>
      </c>
      <c r="X254">
        <v>31162102</v>
      </c>
      <c r="Y254" s="8">
        <v>77.440804</v>
      </c>
      <c r="Z254">
        <v>31162102</v>
      </c>
      <c r="AA254" s="9">
        <v>77.445669999999893</v>
      </c>
      <c r="AB254" t="b">
        <f t="shared" si="3"/>
        <v>0</v>
      </c>
    </row>
    <row r="255" spans="1:28" x14ac:dyDescent="0.3">
      <c r="A255">
        <v>897277</v>
      </c>
      <c r="B255" t="s">
        <v>845</v>
      </c>
      <c r="D255">
        <v>2210279</v>
      </c>
      <c r="X255">
        <v>31162101</v>
      </c>
      <c r="Y255" s="8">
        <v>78.286839999999998</v>
      </c>
      <c r="Z255">
        <v>31162101</v>
      </c>
      <c r="AA255" s="8">
        <v>78.286839999999998</v>
      </c>
      <c r="AB255" t="b">
        <f t="shared" si="3"/>
        <v>0</v>
      </c>
    </row>
    <row r="256" spans="1:28" x14ac:dyDescent="0.3">
      <c r="A256">
        <v>897278</v>
      </c>
      <c r="B256" t="s">
        <v>846</v>
      </c>
      <c r="D256">
        <v>2334276</v>
      </c>
      <c r="AB256" t="b">
        <f t="shared" si="3"/>
        <v>0</v>
      </c>
    </row>
    <row r="257" spans="1:28" x14ac:dyDescent="0.3">
      <c r="A257">
        <v>897280</v>
      </c>
      <c r="B257" t="s">
        <v>847</v>
      </c>
      <c r="D257">
        <v>2112763</v>
      </c>
      <c r="X257">
        <v>27112845</v>
      </c>
      <c r="Y257" s="8">
        <v>67.789991999999998</v>
      </c>
      <c r="Z257">
        <v>27112845</v>
      </c>
      <c r="AA257" s="8">
        <v>67.789991999999998</v>
      </c>
      <c r="AB257" t="b">
        <f t="shared" si="3"/>
        <v>0</v>
      </c>
    </row>
    <row r="258" spans="1:28" x14ac:dyDescent="0.3">
      <c r="A258">
        <v>897281</v>
      </c>
      <c r="B258" t="s">
        <v>848</v>
      </c>
      <c r="C258" t="s">
        <v>849</v>
      </c>
      <c r="D258" t="s">
        <v>850</v>
      </c>
      <c r="O258" t="s">
        <v>38</v>
      </c>
      <c r="P258" t="s">
        <v>851</v>
      </c>
      <c r="Q258" t="s">
        <v>40</v>
      </c>
      <c r="T258" s="8">
        <v>100</v>
      </c>
      <c r="X258">
        <v>23241616</v>
      </c>
      <c r="Y258" s="8">
        <v>47.05095</v>
      </c>
      <c r="Z258">
        <v>23241616</v>
      </c>
      <c r="AA258" s="8">
        <v>47.05095</v>
      </c>
      <c r="AB258" t="b">
        <f t="shared" si="3"/>
        <v>0</v>
      </c>
    </row>
    <row r="259" spans="1:28" ht="86.4" x14ac:dyDescent="0.3">
      <c r="A259">
        <v>897282</v>
      </c>
      <c r="B259" s="2" t="s">
        <v>852</v>
      </c>
      <c r="C259" t="s">
        <v>547</v>
      </c>
      <c r="D259" t="s">
        <v>853</v>
      </c>
      <c r="AB259" t="b">
        <f t="shared" ref="AB259:AB322" si="4">(AA259-Y259)&lt;-1</f>
        <v>0</v>
      </c>
    </row>
    <row r="260" spans="1:28" x14ac:dyDescent="0.3">
      <c r="A260">
        <v>897283</v>
      </c>
      <c r="B260" t="s">
        <v>854</v>
      </c>
      <c r="O260" t="s">
        <v>855</v>
      </c>
      <c r="P260" t="s">
        <v>855</v>
      </c>
      <c r="Q260" t="s">
        <v>40</v>
      </c>
      <c r="T260" s="8">
        <v>90</v>
      </c>
      <c r="AB260" t="b">
        <f t="shared" si="4"/>
        <v>0</v>
      </c>
    </row>
    <row r="261" spans="1:28" ht="86.4" x14ac:dyDescent="0.3">
      <c r="A261">
        <v>897284</v>
      </c>
      <c r="B261" s="2" t="s">
        <v>856</v>
      </c>
      <c r="C261" t="s">
        <v>857</v>
      </c>
      <c r="D261" t="s">
        <v>858</v>
      </c>
      <c r="AB261" t="b">
        <f t="shared" si="4"/>
        <v>0</v>
      </c>
    </row>
    <row r="262" spans="1:28" x14ac:dyDescent="0.3">
      <c r="A262">
        <v>897285</v>
      </c>
      <c r="B262" t="s">
        <v>859</v>
      </c>
      <c r="D262" t="s">
        <v>860</v>
      </c>
      <c r="G262">
        <v>340081</v>
      </c>
      <c r="H262" t="s">
        <v>861</v>
      </c>
      <c r="I262" t="s">
        <v>578</v>
      </c>
      <c r="J262" s="6" t="s">
        <v>862</v>
      </c>
      <c r="K262">
        <v>39121444</v>
      </c>
      <c r="L262" t="s">
        <v>863</v>
      </c>
      <c r="M262">
        <v>262466</v>
      </c>
      <c r="N262" t="s">
        <v>864</v>
      </c>
      <c r="O262" t="s">
        <v>578</v>
      </c>
      <c r="Q262" t="s">
        <v>86</v>
      </c>
      <c r="R262" s="9">
        <v>0.716578958937924</v>
      </c>
      <c r="S262" s="9">
        <v>45.877974584629598</v>
      </c>
      <c r="T262" s="9">
        <v>37.545079789939997</v>
      </c>
      <c r="U262" s="9">
        <v>68.3157917875848</v>
      </c>
      <c r="X262">
        <v>39121444</v>
      </c>
      <c r="Y262" s="8">
        <v>82.324195000000003</v>
      </c>
      <c r="Z262">
        <v>39121444</v>
      </c>
      <c r="AA262" s="8">
        <v>82.324195000000003</v>
      </c>
      <c r="AB262" t="b">
        <f t="shared" si="4"/>
        <v>0</v>
      </c>
    </row>
    <row r="263" spans="1:28" ht="86.4" x14ac:dyDescent="0.3">
      <c r="A263">
        <v>897288</v>
      </c>
      <c r="B263" s="2" t="s">
        <v>865</v>
      </c>
      <c r="C263" t="s">
        <v>866</v>
      </c>
      <c r="D263" t="s">
        <v>867</v>
      </c>
      <c r="AB263" t="b">
        <f t="shared" si="4"/>
        <v>0</v>
      </c>
    </row>
    <row r="264" spans="1:28" ht="86.4" x14ac:dyDescent="0.3">
      <c r="A264">
        <v>897289</v>
      </c>
      <c r="B264" s="2" t="s">
        <v>868</v>
      </c>
      <c r="C264" t="s">
        <v>866</v>
      </c>
      <c r="D264" t="s">
        <v>867</v>
      </c>
      <c r="AB264" t="b">
        <f t="shared" si="4"/>
        <v>0</v>
      </c>
    </row>
    <row r="265" spans="1:28" x14ac:dyDescent="0.3">
      <c r="A265">
        <v>897290</v>
      </c>
      <c r="B265" t="s">
        <v>869</v>
      </c>
      <c r="O265" t="s">
        <v>855</v>
      </c>
      <c r="P265" t="s">
        <v>855</v>
      </c>
      <c r="Q265" t="s">
        <v>40</v>
      </c>
      <c r="T265" s="8">
        <v>90</v>
      </c>
      <c r="AB265" t="b">
        <f t="shared" si="4"/>
        <v>0</v>
      </c>
    </row>
    <row r="266" spans="1:28" x14ac:dyDescent="0.3">
      <c r="A266">
        <v>897291</v>
      </c>
      <c r="B266" t="s">
        <v>870</v>
      </c>
      <c r="D266" t="s">
        <v>871</v>
      </c>
      <c r="X266">
        <v>43223300</v>
      </c>
      <c r="Y266" s="9">
        <v>76.558439999999905</v>
      </c>
      <c r="Z266">
        <v>43223300</v>
      </c>
      <c r="AA266" s="9">
        <v>76.558439999999905</v>
      </c>
      <c r="AB266" t="b">
        <f t="shared" si="4"/>
        <v>0</v>
      </c>
    </row>
    <row r="267" spans="1:28" x14ac:dyDescent="0.3">
      <c r="A267">
        <v>897292</v>
      </c>
      <c r="B267" t="s">
        <v>872</v>
      </c>
      <c r="D267" t="s">
        <v>873</v>
      </c>
      <c r="O267" t="s">
        <v>874</v>
      </c>
      <c r="P267" t="s">
        <v>875</v>
      </c>
      <c r="Q267" t="s">
        <v>40</v>
      </c>
      <c r="T267" s="8">
        <v>60</v>
      </c>
      <c r="X267">
        <v>43223303</v>
      </c>
      <c r="Y267" s="8">
        <v>46.161695999999999</v>
      </c>
      <c r="Z267">
        <v>43223303</v>
      </c>
      <c r="AA267" s="8">
        <v>46.161695999999999</v>
      </c>
      <c r="AB267" t="b">
        <f t="shared" si="4"/>
        <v>0</v>
      </c>
    </row>
    <row r="268" spans="1:28" x14ac:dyDescent="0.3">
      <c r="A268">
        <v>897293</v>
      </c>
      <c r="B268" t="s">
        <v>876</v>
      </c>
      <c r="D268" t="s">
        <v>877</v>
      </c>
      <c r="G268">
        <v>283635</v>
      </c>
      <c r="H268">
        <v>50125</v>
      </c>
      <c r="I268" t="s">
        <v>250</v>
      </c>
      <c r="J268" s="6" t="s">
        <v>878</v>
      </c>
      <c r="K268">
        <v>27112805</v>
      </c>
      <c r="M268">
        <v>49797</v>
      </c>
      <c r="N268" t="s">
        <v>879</v>
      </c>
      <c r="O268" t="s">
        <v>250</v>
      </c>
      <c r="Q268" t="s">
        <v>86</v>
      </c>
      <c r="R268" s="9">
        <v>0.347671537032127</v>
      </c>
      <c r="S268" s="9">
        <v>49.8835768516063</v>
      </c>
      <c r="T268" s="9">
        <v>55.8835768516063</v>
      </c>
      <c r="U268" s="8">
        <v>0</v>
      </c>
      <c r="AB268" t="b">
        <f t="shared" si="4"/>
        <v>0</v>
      </c>
    </row>
    <row r="269" spans="1:28" x14ac:dyDescent="0.3">
      <c r="A269">
        <v>897294</v>
      </c>
      <c r="B269" t="s">
        <v>880</v>
      </c>
      <c r="D269" t="s">
        <v>881</v>
      </c>
      <c r="G269">
        <v>283635</v>
      </c>
      <c r="H269">
        <v>50125</v>
      </c>
      <c r="I269" t="s">
        <v>250</v>
      </c>
      <c r="J269" s="6" t="s">
        <v>878</v>
      </c>
      <c r="K269">
        <v>27112805</v>
      </c>
      <c r="M269">
        <v>49797</v>
      </c>
      <c r="N269" t="s">
        <v>879</v>
      </c>
      <c r="O269" t="s">
        <v>250</v>
      </c>
      <c r="Q269" t="s">
        <v>86</v>
      </c>
      <c r="R269" s="9">
        <v>0.34504091279194998</v>
      </c>
      <c r="S269" s="9">
        <v>49.752045639597497</v>
      </c>
      <c r="T269" s="9">
        <v>55.752045639597497</v>
      </c>
      <c r="U269" s="8">
        <v>0</v>
      </c>
      <c r="AB269" t="b">
        <f t="shared" si="4"/>
        <v>0</v>
      </c>
    </row>
    <row r="270" spans="1:28" x14ac:dyDescent="0.3">
      <c r="A270">
        <v>897295</v>
      </c>
      <c r="B270" t="s">
        <v>882</v>
      </c>
      <c r="O270" t="s">
        <v>260</v>
      </c>
      <c r="P270" t="s">
        <v>260</v>
      </c>
      <c r="Q270" t="s">
        <v>40</v>
      </c>
      <c r="T270" s="8">
        <v>95</v>
      </c>
      <c r="AB270" t="b">
        <f t="shared" si="4"/>
        <v>0</v>
      </c>
    </row>
    <row r="271" spans="1:28" ht="57.6" x14ac:dyDescent="0.3">
      <c r="A271">
        <v>897296</v>
      </c>
      <c r="B271" s="2" t="s">
        <v>883</v>
      </c>
      <c r="C271" t="s">
        <v>884</v>
      </c>
      <c r="D271">
        <v>625</v>
      </c>
      <c r="AB271" t="b">
        <f t="shared" si="4"/>
        <v>0</v>
      </c>
    </row>
    <row r="272" spans="1:28" x14ac:dyDescent="0.3">
      <c r="A272">
        <v>897297</v>
      </c>
      <c r="B272" t="s">
        <v>885</v>
      </c>
      <c r="AB272" t="b">
        <f t="shared" si="4"/>
        <v>0</v>
      </c>
    </row>
    <row r="273" spans="1:28" ht="72" x14ac:dyDescent="0.3">
      <c r="A273">
        <v>897298</v>
      </c>
      <c r="B273" s="2" t="s">
        <v>886</v>
      </c>
      <c r="C273" t="s">
        <v>887</v>
      </c>
      <c r="D273" t="s">
        <v>888</v>
      </c>
      <c r="AB273" t="b">
        <f t="shared" si="4"/>
        <v>0</v>
      </c>
    </row>
    <row r="274" spans="1:28" ht="100.8" x14ac:dyDescent="0.3">
      <c r="A274">
        <v>897299</v>
      </c>
      <c r="B274" s="2" t="s">
        <v>889</v>
      </c>
      <c r="C274" t="s">
        <v>887</v>
      </c>
      <c r="D274" t="s">
        <v>890</v>
      </c>
      <c r="AB274" t="b">
        <f t="shared" si="4"/>
        <v>0</v>
      </c>
    </row>
    <row r="275" spans="1:28" x14ac:dyDescent="0.3">
      <c r="A275">
        <v>897300</v>
      </c>
      <c r="B275" t="s">
        <v>891</v>
      </c>
      <c r="AB275" t="b">
        <f t="shared" si="4"/>
        <v>0</v>
      </c>
    </row>
    <row r="276" spans="1:28" ht="57.6" x14ac:dyDescent="0.3">
      <c r="A276">
        <v>897301</v>
      </c>
      <c r="B276" s="2" t="s">
        <v>892</v>
      </c>
      <c r="C276" t="s">
        <v>857</v>
      </c>
      <c r="D276" t="s">
        <v>893</v>
      </c>
      <c r="AB276" t="b">
        <f t="shared" si="4"/>
        <v>0</v>
      </c>
    </row>
    <row r="277" spans="1:28" x14ac:dyDescent="0.3">
      <c r="A277">
        <v>897302</v>
      </c>
      <c r="B277" t="s">
        <v>894</v>
      </c>
      <c r="AB277" t="b">
        <f t="shared" si="4"/>
        <v>0</v>
      </c>
    </row>
    <row r="278" spans="1:28" x14ac:dyDescent="0.3">
      <c r="A278">
        <v>897303</v>
      </c>
      <c r="B278" t="s">
        <v>551</v>
      </c>
      <c r="AB278" t="b">
        <f t="shared" si="4"/>
        <v>0</v>
      </c>
    </row>
    <row r="279" spans="1:28" ht="57.6" x14ac:dyDescent="0.3">
      <c r="A279">
        <v>897304</v>
      </c>
      <c r="B279" s="2" t="s">
        <v>895</v>
      </c>
      <c r="C279" t="s">
        <v>866</v>
      </c>
      <c r="D279" t="s">
        <v>896</v>
      </c>
      <c r="F279">
        <v>1050389234</v>
      </c>
      <c r="AB279" t="b">
        <f t="shared" si="4"/>
        <v>0</v>
      </c>
    </row>
    <row r="280" spans="1:28" x14ac:dyDescent="0.3">
      <c r="A280">
        <v>897305</v>
      </c>
      <c r="B280" t="s">
        <v>897</v>
      </c>
      <c r="AB280" t="b">
        <f t="shared" si="4"/>
        <v>0</v>
      </c>
    </row>
    <row r="281" spans="1:28" x14ac:dyDescent="0.3">
      <c r="A281">
        <v>897306</v>
      </c>
      <c r="B281" t="s">
        <v>557</v>
      </c>
      <c r="AB281" t="b">
        <f t="shared" si="4"/>
        <v>0</v>
      </c>
    </row>
    <row r="282" spans="1:28" ht="57.6" x14ac:dyDescent="0.3">
      <c r="A282">
        <v>897307</v>
      </c>
      <c r="B282" s="2" t="s">
        <v>898</v>
      </c>
      <c r="C282" t="s">
        <v>899</v>
      </c>
      <c r="D282" t="s">
        <v>893</v>
      </c>
      <c r="AB282" t="b">
        <f t="shared" si="4"/>
        <v>0</v>
      </c>
    </row>
    <row r="283" spans="1:28" ht="100.8" x14ac:dyDescent="0.3">
      <c r="A283">
        <v>897308</v>
      </c>
      <c r="B283" s="2" t="s">
        <v>900</v>
      </c>
      <c r="C283" t="s">
        <v>901</v>
      </c>
      <c r="D283" t="s">
        <v>902</v>
      </c>
      <c r="AB283" t="b">
        <f t="shared" si="4"/>
        <v>0</v>
      </c>
    </row>
    <row r="284" spans="1:28" x14ac:dyDescent="0.3">
      <c r="A284">
        <v>897309</v>
      </c>
      <c r="B284" t="s">
        <v>903</v>
      </c>
      <c r="D284" t="s">
        <v>904</v>
      </c>
      <c r="X284">
        <v>26121609</v>
      </c>
      <c r="Y284" s="8">
        <v>76.753810000000001</v>
      </c>
      <c r="Z284">
        <v>26121609</v>
      </c>
      <c r="AA284" s="9">
        <v>76.782019999999903</v>
      </c>
      <c r="AB284" t="b">
        <f t="shared" si="4"/>
        <v>0</v>
      </c>
    </row>
    <row r="285" spans="1:28" x14ac:dyDescent="0.3">
      <c r="A285">
        <v>897310</v>
      </c>
      <c r="B285" t="s">
        <v>905</v>
      </c>
      <c r="AB285" t="b">
        <f t="shared" si="4"/>
        <v>0</v>
      </c>
    </row>
    <row r="286" spans="1:28" x14ac:dyDescent="0.3">
      <c r="A286">
        <v>897311</v>
      </c>
      <c r="B286" t="s">
        <v>906</v>
      </c>
      <c r="O286" t="s">
        <v>907</v>
      </c>
      <c r="P286" t="s">
        <v>907</v>
      </c>
      <c r="Q286" t="s">
        <v>40</v>
      </c>
      <c r="T286" s="8">
        <v>80</v>
      </c>
      <c r="AB286" t="b">
        <f t="shared" si="4"/>
        <v>0</v>
      </c>
    </row>
    <row r="287" spans="1:28" x14ac:dyDescent="0.3">
      <c r="A287">
        <v>897312</v>
      </c>
      <c r="B287" t="s">
        <v>905</v>
      </c>
      <c r="AB287" t="b">
        <f t="shared" si="4"/>
        <v>0</v>
      </c>
    </row>
    <row r="288" spans="1:28" x14ac:dyDescent="0.3">
      <c r="A288">
        <v>897313</v>
      </c>
      <c r="B288" t="s">
        <v>906</v>
      </c>
      <c r="O288" t="s">
        <v>907</v>
      </c>
      <c r="P288" t="s">
        <v>907</v>
      </c>
      <c r="Q288" t="s">
        <v>40</v>
      </c>
      <c r="T288" s="8">
        <v>80</v>
      </c>
      <c r="AB288" t="b">
        <f t="shared" si="4"/>
        <v>0</v>
      </c>
    </row>
    <row r="289" spans="1:28" x14ac:dyDescent="0.3">
      <c r="A289">
        <v>897314</v>
      </c>
      <c r="B289" t="s">
        <v>908</v>
      </c>
      <c r="O289" t="s">
        <v>833</v>
      </c>
      <c r="P289" t="s">
        <v>834</v>
      </c>
      <c r="Q289" t="s">
        <v>51</v>
      </c>
      <c r="T289" s="8">
        <v>50</v>
      </c>
      <c r="AB289" t="b">
        <f t="shared" si="4"/>
        <v>0</v>
      </c>
    </row>
    <row r="290" spans="1:28" x14ac:dyDescent="0.3">
      <c r="A290">
        <v>897315</v>
      </c>
      <c r="B290" t="s">
        <v>909</v>
      </c>
      <c r="O290" t="s">
        <v>833</v>
      </c>
      <c r="P290" t="s">
        <v>834</v>
      </c>
      <c r="Q290" t="s">
        <v>40</v>
      </c>
      <c r="T290" s="8">
        <v>95</v>
      </c>
      <c r="AB290" t="b">
        <f t="shared" si="4"/>
        <v>0</v>
      </c>
    </row>
    <row r="291" spans="1:28" ht="86.4" x14ac:dyDescent="0.3">
      <c r="A291">
        <v>897316</v>
      </c>
      <c r="B291" s="2" t="s">
        <v>910</v>
      </c>
      <c r="C291" t="s">
        <v>911</v>
      </c>
      <c r="D291" t="s">
        <v>912</v>
      </c>
      <c r="AB291" t="b">
        <f t="shared" si="4"/>
        <v>0</v>
      </c>
    </row>
    <row r="292" spans="1:28" x14ac:dyDescent="0.3">
      <c r="A292">
        <v>897317</v>
      </c>
      <c r="B292" t="s">
        <v>913</v>
      </c>
      <c r="O292" t="s">
        <v>833</v>
      </c>
      <c r="P292" t="s">
        <v>834</v>
      </c>
      <c r="Q292" t="s">
        <v>51</v>
      </c>
      <c r="T292" s="8">
        <v>50</v>
      </c>
      <c r="AB292" t="b">
        <f t="shared" si="4"/>
        <v>0</v>
      </c>
    </row>
    <row r="293" spans="1:28" x14ac:dyDescent="0.3">
      <c r="A293">
        <v>897318</v>
      </c>
      <c r="B293" t="s">
        <v>914</v>
      </c>
      <c r="AB293" t="b">
        <f t="shared" si="4"/>
        <v>0</v>
      </c>
    </row>
    <row r="294" spans="1:28" x14ac:dyDescent="0.3">
      <c r="A294">
        <v>897319</v>
      </c>
      <c r="B294" t="s">
        <v>909</v>
      </c>
      <c r="O294" t="s">
        <v>833</v>
      </c>
      <c r="P294" t="s">
        <v>834</v>
      </c>
      <c r="Q294" t="s">
        <v>40</v>
      </c>
      <c r="T294" s="8">
        <v>95</v>
      </c>
      <c r="AB294" t="b">
        <f t="shared" si="4"/>
        <v>0</v>
      </c>
    </row>
    <row r="295" spans="1:28" ht="72" x14ac:dyDescent="0.3">
      <c r="A295">
        <v>897320</v>
      </c>
      <c r="B295" s="2" t="s">
        <v>915</v>
      </c>
      <c r="C295" t="s">
        <v>916</v>
      </c>
      <c r="D295" t="s">
        <v>917</v>
      </c>
      <c r="AB295" t="b">
        <f t="shared" si="4"/>
        <v>0</v>
      </c>
    </row>
    <row r="296" spans="1:28" x14ac:dyDescent="0.3">
      <c r="A296">
        <v>897321</v>
      </c>
      <c r="B296" t="s">
        <v>918</v>
      </c>
      <c r="AB296" t="b">
        <f t="shared" si="4"/>
        <v>0</v>
      </c>
    </row>
    <row r="297" spans="1:28" ht="72" x14ac:dyDescent="0.3">
      <c r="A297">
        <v>897322</v>
      </c>
      <c r="B297" s="2" t="s">
        <v>919</v>
      </c>
      <c r="C297" t="s">
        <v>920</v>
      </c>
      <c r="D297" t="s">
        <v>921</v>
      </c>
      <c r="AB297" t="b">
        <f t="shared" si="4"/>
        <v>0</v>
      </c>
    </row>
    <row r="298" spans="1:28" ht="100.8" x14ac:dyDescent="0.3">
      <c r="A298">
        <v>897323</v>
      </c>
      <c r="B298" s="2" t="s">
        <v>922</v>
      </c>
      <c r="C298" t="s">
        <v>901</v>
      </c>
      <c r="D298" t="s">
        <v>902</v>
      </c>
      <c r="AB298" t="b">
        <f t="shared" si="4"/>
        <v>0</v>
      </c>
    </row>
    <row r="299" spans="1:28" x14ac:dyDescent="0.3">
      <c r="A299">
        <v>897324</v>
      </c>
      <c r="B299" t="s">
        <v>923</v>
      </c>
      <c r="O299" t="s">
        <v>855</v>
      </c>
      <c r="P299" t="s">
        <v>855</v>
      </c>
      <c r="Q299" t="s">
        <v>40</v>
      </c>
      <c r="T299" s="8">
        <v>90</v>
      </c>
      <c r="AB299" t="b">
        <f t="shared" si="4"/>
        <v>0</v>
      </c>
    </row>
    <row r="300" spans="1:28" ht="86.4" x14ac:dyDescent="0.3">
      <c r="A300">
        <v>897325</v>
      </c>
      <c r="B300" s="2" t="s">
        <v>924</v>
      </c>
      <c r="C300" t="s">
        <v>916</v>
      </c>
      <c r="D300" t="s">
        <v>917</v>
      </c>
      <c r="AB300" t="b">
        <f t="shared" si="4"/>
        <v>0</v>
      </c>
    </row>
    <row r="301" spans="1:28" ht="100.8" x14ac:dyDescent="0.3">
      <c r="A301">
        <v>897326</v>
      </c>
      <c r="B301" s="2" t="s">
        <v>925</v>
      </c>
      <c r="C301" t="s">
        <v>901</v>
      </c>
      <c r="D301" t="s">
        <v>902</v>
      </c>
      <c r="AB301" t="b">
        <f t="shared" si="4"/>
        <v>0</v>
      </c>
    </row>
    <row r="302" spans="1:28" x14ac:dyDescent="0.3">
      <c r="A302">
        <v>897327</v>
      </c>
      <c r="B302" t="s">
        <v>918</v>
      </c>
      <c r="AB302" t="b">
        <f t="shared" si="4"/>
        <v>0</v>
      </c>
    </row>
    <row r="303" spans="1:28" x14ac:dyDescent="0.3">
      <c r="A303">
        <v>897328</v>
      </c>
      <c r="B303" t="s">
        <v>551</v>
      </c>
      <c r="AB303" t="b">
        <f t="shared" si="4"/>
        <v>0</v>
      </c>
    </row>
    <row r="304" spans="1:28" x14ac:dyDescent="0.3">
      <c r="A304">
        <v>897329</v>
      </c>
      <c r="B304" t="s">
        <v>926</v>
      </c>
      <c r="D304" t="s">
        <v>927</v>
      </c>
      <c r="G304">
        <v>289675</v>
      </c>
      <c r="H304">
        <v>40800</v>
      </c>
      <c r="I304" t="s">
        <v>250</v>
      </c>
      <c r="J304" s="6" t="s">
        <v>928</v>
      </c>
      <c r="K304">
        <v>27112831</v>
      </c>
      <c r="M304">
        <v>121128</v>
      </c>
      <c r="N304" t="s">
        <v>929</v>
      </c>
      <c r="O304" t="s">
        <v>250</v>
      </c>
      <c r="Q304" t="s">
        <v>86</v>
      </c>
      <c r="R304" s="9">
        <v>0.40210906633886301</v>
      </c>
      <c r="S304" s="9">
        <v>52.605453316943098</v>
      </c>
      <c r="T304" s="9">
        <v>58.605453316943098</v>
      </c>
      <c r="U304" s="8">
        <v>0</v>
      </c>
      <c r="AB304" t="b">
        <f t="shared" si="4"/>
        <v>0</v>
      </c>
    </row>
    <row r="305" spans="1:28" x14ac:dyDescent="0.3">
      <c r="A305">
        <v>897330</v>
      </c>
      <c r="B305" t="s">
        <v>557</v>
      </c>
      <c r="AB305" t="b">
        <f t="shared" si="4"/>
        <v>0</v>
      </c>
    </row>
    <row r="306" spans="1:28" x14ac:dyDescent="0.3">
      <c r="A306">
        <v>897331</v>
      </c>
      <c r="B306" t="s">
        <v>930</v>
      </c>
      <c r="D306" t="s">
        <v>931</v>
      </c>
      <c r="AB306" t="b">
        <f t="shared" si="4"/>
        <v>0</v>
      </c>
    </row>
    <row r="307" spans="1:28" x14ac:dyDescent="0.3">
      <c r="A307">
        <v>897332</v>
      </c>
      <c r="B307" t="s">
        <v>932</v>
      </c>
      <c r="D307" t="s">
        <v>933</v>
      </c>
      <c r="G307">
        <v>215361</v>
      </c>
      <c r="H307">
        <v>1024</v>
      </c>
      <c r="I307" t="s">
        <v>178</v>
      </c>
      <c r="J307" s="6" t="s">
        <v>934</v>
      </c>
      <c r="K307">
        <v>26111700</v>
      </c>
      <c r="M307">
        <v>127005</v>
      </c>
      <c r="N307" t="s">
        <v>935</v>
      </c>
      <c r="O307" t="s">
        <v>178</v>
      </c>
      <c r="Q307" t="s">
        <v>86</v>
      </c>
      <c r="R307" s="9">
        <v>0.40745860107770598</v>
      </c>
      <c r="S307" s="9">
        <v>42.872930053885298</v>
      </c>
      <c r="T307" s="9">
        <v>52.872930053885298</v>
      </c>
      <c r="U307" s="8">
        <v>0</v>
      </c>
      <c r="AB307" t="b">
        <f t="shared" si="4"/>
        <v>0</v>
      </c>
    </row>
    <row r="308" spans="1:28" x14ac:dyDescent="0.3">
      <c r="A308">
        <v>897333</v>
      </c>
      <c r="B308" t="s">
        <v>926</v>
      </c>
      <c r="D308" t="s">
        <v>927</v>
      </c>
      <c r="G308">
        <v>289675</v>
      </c>
      <c r="H308">
        <v>40800</v>
      </c>
      <c r="I308" t="s">
        <v>250</v>
      </c>
      <c r="J308" s="6" t="s">
        <v>928</v>
      </c>
      <c r="K308">
        <v>27112831</v>
      </c>
      <c r="M308">
        <v>121128</v>
      </c>
      <c r="N308" t="s">
        <v>929</v>
      </c>
      <c r="O308" t="s">
        <v>250</v>
      </c>
      <c r="Q308" t="s">
        <v>86</v>
      </c>
      <c r="R308" s="9">
        <v>0.40210906633886301</v>
      </c>
      <c r="S308" s="9">
        <v>52.605453316943098</v>
      </c>
      <c r="T308" s="9">
        <v>58.605453316943098</v>
      </c>
      <c r="U308" s="8">
        <v>0</v>
      </c>
      <c r="AB308" t="b">
        <f t="shared" si="4"/>
        <v>0</v>
      </c>
    </row>
    <row r="309" spans="1:28" x14ac:dyDescent="0.3">
      <c r="A309">
        <v>897334</v>
      </c>
      <c r="B309" t="s">
        <v>936</v>
      </c>
      <c r="D309" t="s">
        <v>937</v>
      </c>
      <c r="AB309" t="b">
        <f t="shared" si="4"/>
        <v>0</v>
      </c>
    </row>
    <row r="310" spans="1:28" x14ac:dyDescent="0.3">
      <c r="A310">
        <v>897335</v>
      </c>
      <c r="B310" t="s">
        <v>938</v>
      </c>
      <c r="D310" t="s">
        <v>939</v>
      </c>
      <c r="AB310" t="b">
        <f t="shared" si="4"/>
        <v>0</v>
      </c>
    </row>
    <row r="311" spans="1:28" x14ac:dyDescent="0.3">
      <c r="A311">
        <v>897336</v>
      </c>
      <c r="B311" t="s">
        <v>940</v>
      </c>
      <c r="O311" t="s">
        <v>260</v>
      </c>
      <c r="P311" t="s">
        <v>260</v>
      </c>
      <c r="Q311" t="s">
        <v>40</v>
      </c>
      <c r="T311" s="8">
        <v>95</v>
      </c>
      <c r="AB311" t="b">
        <f t="shared" si="4"/>
        <v>0</v>
      </c>
    </row>
    <row r="312" spans="1:28" ht="86.4" x14ac:dyDescent="0.3">
      <c r="A312">
        <v>897337</v>
      </c>
      <c r="B312" s="2" t="s">
        <v>941</v>
      </c>
      <c r="C312" t="s">
        <v>942</v>
      </c>
      <c r="D312" t="s">
        <v>943</v>
      </c>
      <c r="AB312" t="b">
        <f t="shared" si="4"/>
        <v>0</v>
      </c>
    </row>
    <row r="313" spans="1:28" x14ac:dyDescent="0.3">
      <c r="A313">
        <v>897338</v>
      </c>
      <c r="B313" t="s">
        <v>944</v>
      </c>
      <c r="D313" t="s">
        <v>945</v>
      </c>
      <c r="AB313" t="b">
        <f t="shared" si="4"/>
        <v>0</v>
      </c>
    </row>
    <row r="314" spans="1:28" x14ac:dyDescent="0.3">
      <c r="A314">
        <v>897339</v>
      </c>
      <c r="B314" t="s">
        <v>932</v>
      </c>
      <c r="D314" t="s">
        <v>933</v>
      </c>
      <c r="G314">
        <v>215361</v>
      </c>
      <c r="H314">
        <v>1024</v>
      </c>
      <c r="I314" t="s">
        <v>178</v>
      </c>
      <c r="J314" s="6" t="s">
        <v>934</v>
      </c>
      <c r="K314">
        <v>26111700</v>
      </c>
      <c r="M314">
        <v>127005</v>
      </c>
      <c r="N314" t="s">
        <v>935</v>
      </c>
      <c r="O314" t="s">
        <v>178</v>
      </c>
      <c r="Q314" t="s">
        <v>86</v>
      </c>
      <c r="R314" s="9">
        <v>0.40745860107770598</v>
      </c>
      <c r="S314" s="9">
        <v>42.872930053885298</v>
      </c>
      <c r="T314" s="9">
        <v>52.872930053885298</v>
      </c>
      <c r="U314" s="8">
        <v>0</v>
      </c>
      <c r="AB314" t="b">
        <f t="shared" si="4"/>
        <v>0</v>
      </c>
    </row>
    <row r="315" spans="1:28" x14ac:dyDescent="0.3">
      <c r="A315">
        <v>897340</v>
      </c>
      <c r="B315" t="s">
        <v>926</v>
      </c>
      <c r="D315" t="s">
        <v>927</v>
      </c>
      <c r="G315">
        <v>289675</v>
      </c>
      <c r="H315">
        <v>40800</v>
      </c>
      <c r="I315" t="s">
        <v>250</v>
      </c>
      <c r="J315" s="6" t="s">
        <v>928</v>
      </c>
      <c r="K315">
        <v>27112831</v>
      </c>
      <c r="M315">
        <v>121128</v>
      </c>
      <c r="N315" t="s">
        <v>929</v>
      </c>
      <c r="O315" t="s">
        <v>250</v>
      </c>
      <c r="Q315" t="s">
        <v>86</v>
      </c>
      <c r="R315" s="9">
        <v>0.40210906633886301</v>
      </c>
      <c r="S315" s="9">
        <v>52.605453316943098</v>
      </c>
      <c r="T315" s="9">
        <v>58.605453316943098</v>
      </c>
      <c r="U315" s="8">
        <v>0</v>
      </c>
      <c r="AB315" t="b">
        <f t="shared" si="4"/>
        <v>0</v>
      </c>
    </row>
    <row r="316" spans="1:28" x14ac:dyDescent="0.3">
      <c r="A316">
        <v>897341</v>
      </c>
      <c r="B316" t="s">
        <v>926</v>
      </c>
      <c r="D316" t="s">
        <v>927</v>
      </c>
      <c r="G316">
        <v>289675</v>
      </c>
      <c r="H316">
        <v>40800</v>
      </c>
      <c r="I316" t="s">
        <v>250</v>
      </c>
      <c r="J316" s="6" t="s">
        <v>928</v>
      </c>
      <c r="K316">
        <v>27112831</v>
      </c>
      <c r="M316">
        <v>121128</v>
      </c>
      <c r="N316" t="s">
        <v>929</v>
      </c>
      <c r="O316" t="s">
        <v>250</v>
      </c>
      <c r="Q316" t="s">
        <v>86</v>
      </c>
      <c r="R316" s="9">
        <v>0.40210906633886301</v>
      </c>
      <c r="S316" s="9">
        <v>52.605453316943098</v>
      </c>
      <c r="T316" s="9">
        <v>58.605453316943098</v>
      </c>
      <c r="U316" s="8">
        <v>0</v>
      </c>
      <c r="AB316" t="b">
        <f t="shared" si="4"/>
        <v>0</v>
      </c>
    </row>
    <row r="317" spans="1:28" x14ac:dyDescent="0.3">
      <c r="A317">
        <v>897342</v>
      </c>
      <c r="B317" t="s">
        <v>946</v>
      </c>
      <c r="D317" t="s">
        <v>947</v>
      </c>
      <c r="AB317" t="b">
        <f t="shared" si="4"/>
        <v>0</v>
      </c>
    </row>
    <row r="318" spans="1:28" x14ac:dyDescent="0.3">
      <c r="A318">
        <v>897343</v>
      </c>
      <c r="B318" t="s">
        <v>938</v>
      </c>
      <c r="D318" t="s">
        <v>939</v>
      </c>
      <c r="AB318" t="b">
        <f t="shared" si="4"/>
        <v>0</v>
      </c>
    </row>
    <row r="319" spans="1:28" x14ac:dyDescent="0.3">
      <c r="A319">
        <v>897344</v>
      </c>
      <c r="B319" t="s">
        <v>940</v>
      </c>
      <c r="O319" t="s">
        <v>260</v>
      </c>
      <c r="P319" t="s">
        <v>260</v>
      </c>
      <c r="Q319" t="s">
        <v>40</v>
      </c>
      <c r="T319" s="8">
        <v>95</v>
      </c>
      <c r="AB319" t="b">
        <f t="shared" si="4"/>
        <v>0</v>
      </c>
    </row>
    <row r="320" spans="1:28" ht="86.4" x14ac:dyDescent="0.3">
      <c r="A320">
        <v>897345</v>
      </c>
      <c r="B320" s="2" t="s">
        <v>948</v>
      </c>
      <c r="C320" t="s">
        <v>949</v>
      </c>
      <c r="D320" t="s">
        <v>950</v>
      </c>
      <c r="O320" t="s">
        <v>949</v>
      </c>
      <c r="P320" t="s">
        <v>949</v>
      </c>
      <c r="Q320" t="s">
        <v>40</v>
      </c>
      <c r="T320" s="8">
        <v>95</v>
      </c>
      <c r="AB320" t="b">
        <f t="shared" si="4"/>
        <v>0</v>
      </c>
    </row>
    <row r="321" spans="1:28" x14ac:dyDescent="0.3">
      <c r="A321">
        <v>897346</v>
      </c>
      <c r="B321" t="s">
        <v>951</v>
      </c>
      <c r="X321">
        <v>47121900</v>
      </c>
      <c r="Y321" s="9">
        <v>77.461209999999994</v>
      </c>
      <c r="Z321">
        <v>47121900</v>
      </c>
      <c r="AA321" s="9">
        <v>77.461209999999994</v>
      </c>
      <c r="AB321" t="b">
        <f t="shared" si="4"/>
        <v>0</v>
      </c>
    </row>
    <row r="322" spans="1:28" ht="57.6" x14ac:dyDescent="0.3">
      <c r="A322">
        <v>897347</v>
      </c>
      <c r="B322" s="2" t="s">
        <v>952</v>
      </c>
      <c r="C322" t="s">
        <v>953</v>
      </c>
      <c r="D322" t="s">
        <v>954</v>
      </c>
      <c r="G322">
        <v>311494</v>
      </c>
      <c r="H322">
        <v>56240</v>
      </c>
      <c r="I322" t="s">
        <v>485</v>
      </c>
      <c r="J322" s="6" t="s">
        <v>955</v>
      </c>
      <c r="K322">
        <v>39111803</v>
      </c>
      <c r="M322">
        <v>238825</v>
      </c>
      <c r="N322" t="s">
        <v>956</v>
      </c>
      <c r="O322" t="s">
        <v>485</v>
      </c>
      <c r="Q322" t="s">
        <v>86</v>
      </c>
      <c r="R322" s="9">
        <v>0.33919058983485501</v>
      </c>
      <c r="S322" s="9">
        <v>49.4595294917427</v>
      </c>
      <c r="T322" s="9">
        <v>55.4595294917427</v>
      </c>
      <c r="U322" s="8">
        <v>0</v>
      </c>
      <c r="AB322" t="b">
        <f t="shared" si="4"/>
        <v>0</v>
      </c>
    </row>
    <row r="323" spans="1:28" ht="72" x14ac:dyDescent="0.3">
      <c r="A323">
        <v>897348</v>
      </c>
      <c r="B323" s="2" t="s">
        <v>957</v>
      </c>
      <c r="C323" t="s">
        <v>958</v>
      </c>
      <c r="D323" t="s">
        <v>959</v>
      </c>
      <c r="AB323" t="b">
        <f t="shared" ref="AB323:AB386" si="5">(AA323-Y323)&lt;-1</f>
        <v>0</v>
      </c>
    </row>
    <row r="324" spans="1:28" ht="72" x14ac:dyDescent="0.3">
      <c r="A324">
        <v>897349</v>
      </c>
      <c r="B324" s="2" t="s">
        <v>960</v>
      </c>
      <c r="C324" t="s">
        <v>961</v>
      </c>
      <c r="D324" t="s">
        <v>962</v>
      </c>
      <c r="AB324" t="b">
        <f t="shared" si="5"/>
        <v>0</v>
      </c>
    </row>
    <row r="325" spans="1:28" x14ac:dyDescent="0.3">
      <c r="A325">
        <v>897350</v>
      </c>
      <c r="B325" t="s">
        <v>963</v>
      </c>
      <c r="AB325" t="b">
        <f t="shared" si="5"/>
        <v>0</v>
      </c>
    </row>
    <row r="326" spans="1:28" x14ac:dyDescent="0.3">
      <c r="A326">
        <v>897351</v>
      </c>
      <c r="B326" t="s">
        <v>964</v>
      </c>
      <c r="AB326" t="b">
        <f t="shared" si="5"/>
        <v>0</v>
      </c>
    </row>
    <row r="327" spans="1:28" x14ac:dyDescent="0.3">
      <c r="A327">
        <v>897352</v>
      </c>
      <c r="B327" t="s">
        <v>965</v>
      </c>
      <c r="AB327" t="b">
        <f t="shared" si="5"/>
        <v>0</v>
      </c>
    </row>
    <row r="328" spans="1:28" ht="100.8" x14ac:dyDescent="0.3">
      <c r="A328">
        <v>897353</v>
      </c>
      <c r="B328" s="2" t="s">
        <v>966</v>
      </c>
      <c r="C328" t="s">
        <v>901</v>
      </c>
      <c r="D328" t="s">
        <v>967</v>
      </c>
      <c r="AB328" t="b">
        <f t="shared" si="5"/>
        <v>0</v>
      </c>
    </row>
    <row r="329" spans="1:28" x14ac:dyDescent="0.3">
      <c r="A329">
        <v>897354</v>
      </c>
      <c r="B329" t="s">
        <v>968</v>
      </c>
      <c r="AB329" t="b">
        <f t="shared" si="5"/>
        <v>0</v>
      </c>
    </row>
    <row r="330" spans="1:28" x14ac:dyDescent="0.3">
      <c r="A330">
        <v>897355</v>
      </c>
      <c r="B330" t="s">
        <v>969</v>
      </c>
      <c r="O330" t="s">
        <v>833</v>
      </c>
      <c r="P330" t="s">
        <v>834</v>
      </c>
      <c r="Q330" t="s">
        <v>40</v>
      </c>
      <c r="T330" s="8">
        <v>95</v>
      </c>
      <c r="AB330" t="b">
        <f t="shared" si="5"/>
        <v>0</v>
      </c>
    </row>
    <row r="331" spans="1:28" ht="86.4" x14ac:dyDescent="0.3">
      <c r="A331">
        <v>897356</v>
      </c>
      <c r="B331" s="2" t="s">
        <v>970</v>
      </c>
      <c r="C331" t="s">
        <v>971</v>
      </c>
      <c r="D331">
        <v>1055</v>
      </c>
      <c r="F331" s="1" t="s">
        <v>972</v>
      </c>
      <c r="AB331" t="b">
        <f t="shared" si="5"/>
        <v>0</v>
      </c>
    </row>
    <row r="332" spans="1:28" x14ac:dyDescent="0.3">
      <c r="A332">
        <v>897357</v>
      </c>
      <c r="B332" t="s">
        <v>973</v>
      </c>
      <c r="AB332" t="b">
        <f t="shared" si="5"/>
        <v>0</v>
      </c>
    </row>
    <row r="333" spans="1:28" ht="57.6" x14ac:dyDescent="0.3">
      <c r="A333">
        <v>897358</v>
      </c>
      <c r="B333" s="2" t="s">
        <v>974</v>
      </c>
      <c r="C333" t="s">
        <v>975</v>
      </c>
      <c r="D333">
        <v>2118</v>
      </c>
      <c r="G333">
        <v>289648</v>
      </c>
      <c r="H333">
        <v>45363</v>
      </c>
      <c r="I333" t="s">
        <v>250</v>
      </c>
      <c r="J333" s="6" t="s">
        <v>976</v>
      </c>
      <c r="K333">
        <v>41111700</v>
      </c>
      <c r="M333">
        <v>118219</v>
      </c>
      <c r="N333" t="s">
        <v>977</v>
      </c>
      <c r="O333" t="s">
        <v>250</v>
      </c>
      <c r="Q333" t="s">
        <v>75</v>
      </c>
      <c r="R333" s="9">
        <v>0.34037810746022901</v>
      </c>
      <c r="S333" s="9">
        <v>39.5189053730114</v>
      </c>
      <c r="T333" s="9">
        <v>15.5189053730114</v>
      </c>
      <c r="U333" s="8">
        <v>0</v>
      </c>
      <c r="AB333" t="b">
        <f t="shared" si="5"/>
        <v>0</v>
      </c>
    </row>
    <row r="334" spans="1:28" ht="100.8" x14ac:dyDescent="0.3">
      <c r="A334">
        <v>897359</v>
      </c>
      <c r="B334" s="2" t="s">
        <v>978</v>
      </c>
      <c r="C334" t="s">
        <v>979</v>
      </c>
      <c r="D334" t="s">
        <v>980</v>
      </c>
      <c r="AB334" t="b">
        <f t="shared" si="5"/>
        <v>0</v>
      </c>
    </row>
    <row r="335" spans="1:28" x14ac:dyDescent="0.3">
      <c r="A335">
        <v>897360</v>
      </c>
      <c r="B335" t="s">
        <v>981</v>
      </c>
      <c r="X335">
        <v>39131700</v>
      </c>
      <c r="Y335" s="9">
        <v>51.882733333333299</v>
      </c>
      <c r="Z335">
        <v>39131700</v>
      </c>
      <c r="AA335" s="9">
        <v>51.882733333333299</v>
      </c>
      <c r="AB335" t="b">
        <f t="shared" si="5"/>
        <v>0</v>
      </c>
    </row>
    <row r="336" spans="1:28" x14ac:dyDescent="0.3">
      <c r="A336">
        <v>897361</v>
      </c>
      <c r="B336" t="s">
        <v>551</v>
      </c>
      <c r="AB336" t="b">
        <f t="shared" si="5"/>
        <v>0</v>
      </c>
    </row>
    <row r="337" spans="1:28" x14ac:dyDescent="0.3">
      <c r="A337">
        <v>897362</v>
      </c>
      <c r="B337" t="s">
        <v>557</v>
      </c>
      <c r="AB337" t="b">
        <f t="shared" si="5"/>
        <v>0</v>
      </c>
    </row>
    <row r="338" spans="1:28" ht="100.8" x14ac:dyDescent="0.3">
      <c r="A338">
        <v>897363</v>
      </c>
      <c r="B338" s="2" t="s">
        <v>982</v>
      </c>
      <c r="C338" t="s">
        <v>901</v>
      </c>
      <c r="D338" t="s">
        <v>902</v>
      </c>
      <c r="AB338" t="b">
        <f t="shared" si="5"/>
        <v>0</v>
      </c>
    </row>
    <row r="339" spans="1:28" ht="100.8" x14ac:dyDescent="0.3">
      <c r="A339">
        <v>897364</v>
      </c>
      <c r="B339" s="2" t="s">
        <v>983</v>
      </c>
      <c r="C339" t="s">
        <v>901</v>
      </c>
      <c r="D339" t="s">
        <v>902</v>
      </c>
      <c r="AB339" t="b">
        <f t="shared" si="5"/>
        <v>0</v>
      </c>
    </row>
    <row r="340" spans="1:28" ht="100.8" x14ac:dyDescent="0.3">
      <c r="A340">
        <v>897365</v>
      </c>
      <c r="B340" s="2" t="s">
        <v>984</v>
      </c>
      <c r="C340" t="s">
        <v>901</v>
      </c>
      <c r="D340" t="s">
        <v>902</v>
      </c>
      <c r="AB340" t="b">
        <f t="shared" si="5"/>
        <v>0</v>
      </c>
    </row>
    <row r="341" spans="1:28" ht="57.6" x14ac:dyDescent="0.3">
      <c r="A341">
        <v>897366</v>
      </c>
      <c r="B341" s="2" t="s">
        <v>985</v>
      </c>
      <c r="C341" t="s">
        <v>986</v>
      </c>
      <c r="D341" t="s">
        <v>987</v>
      </c>
      <c r="O341" t="s">
        <v>988</v>
      </c>
      <c r="P341" t="s">
        <v>986</v>
      </c>
      <c r="Q341" t="s">
        <v>40</v>
      </c>
      <c r="T341" s="8">
        <v>80</v>
      </c>
      <c r="AB341" t="b">
        <f t="shared" si="5"/>
        <v>0</v>
      </c>
    </row>
    <row r="342" spans="1:28" ht="86.4" x14ac:dyDescent="0.3">
      <c r="A342">
        <v>897367</v>
      </c>
      <c r="B342" s="2" t="s">
        <v>989</v>
      </c>
      <c r="C342" t="s">
        <v>920</v>
      </c>
      <c r="D342" t="s">
        <v>990</v>
      </c>
      <c r="AB342" t="b">
        <f t="shared" si="5"/>
        <v>0</v>
      </c>
    </row>
    <row r="343" spans="1:28" ht="86.4" x14ac:dyDescent="0.3">
      <c r="A343">
        <v>897368</v>
      </c>
      <c r="B343" s="2" t="s">
        <v>991</v>
      </c>
      <c r="C343" t="s">
        <v>920</v>
      </c>
      <c r="D343" t="s">
        <v>990</v>
      </c>
      <c r="AB343" t="b">
        <f t="shared" si="5"/>
        <v>0</v>
      </c>
    </row>
    <row r="344" spans="1:28" ht="86.4" x14ac:dyDescent="0.3">
      <c r="A344">
        <v>897369</v>
      </c>
      <c r="B344" s="2" t="s">
        <v>992</v>
      </c>
      <c r="C344" t="s">
        <v>920</v>
      </c>
      <c r="D344" t="s">
        <v>993</v>
      </c>
      <c r="AB344" t="b">
        <f t="shared" si="5"/>
        <v>0</v>
      </c>
    </row>
    <row r="345" spans="1:28" ht="86.4" x14ac:dyDescent="0.3">
      <c r="A345">
        <v>897370</v>
      </c>
      <c r="B345" s="2" t="s">
        <v>994</v>
      </c>
      <c r="C345" t="s">
        <v>920</v>
      </c>
      <c r="D345" t="s">
        <v>990</v>
      </c>
      <c r="AB345" t="b">
        <f t="shared" si="5"/>
        <v>0</v>
      </c>
    </row>
    <row r="346" spans="1:28" ht="86.4" x14ac:dyDescent="0.3">
      <c r="A346">
        <v>897371</v>
      </c>
      <c r="B346" s="2" t="s">
        <v>995</v>
      </c>
      <c r="C346" t="s">
        <v>920</v>
      </c>
      <c r="D346" t="s">
        <v>990</v>
      </c>
      <c r="G346">
        <v>117420</v>
      </c>
      <c r="H346">
        <v>17301236</v>
      </c>
      <c r="I346" t="s">
        <v>996</v>
      </c>
      <c r="J346" s="5">
        <v>800246165323</v>
      </c>
      <c r="K346">
        <v>39121336</v>
      </c>
      <c r="M346">
        <v>218859</v>
      </c>
      <c r="N346" t="s">
        <v>997</v>
      </c>
      <c r="O346" t="s">
        <v>996</v>
      </c>
      <c r="Q346" t="s">
        <v>86</v>
      </c>
      <c r="R346" s="9">
        <v>0.43448789711151897</v>
      </c>
      <c r="S346" s="9">
        <v>69.224394855575895</v>
      </c>
      <c r="T346" s="9">
        <v>69.224394855575895</v>
      </c>
      <c r="U346" s="9">
        <v>11.897579422303901</v>
      </c>
      <c r="AB346" t="b">
        <f t="shared" si="5"/>
        <v>0</v>
      </c>
    </row>
    <row r="347" spans="1:28" ht="86.4" x14ac:dyDescent="0.3">
      <c r="A347">
        <v>897372</v>
      </c>
      <c r="B347" s="2" t="s">
        <v>998</v>
      </c>
      <c r="C347" t="s">
        <v>920</v>
      </c>
      <c r="D347" t="s">
        <v>990</v>
      </c>
      <c r="AB347" t="b">
        <f t="shared" si="5"/>
        <v>0</v>
      </c>
    </row>
    <row r="348" spans="1:28" x14ac:dyDescent="0.3">
      <c r="A348">
        <v>897373</v>
      </c>
      <c r="B348" t="s">
        <v>999</v>
      </c>
      <c r="D348" t="s">
        <v>1000</v>
      </c>
      <c r="O348" t="s">
        <v>1001</v>
      </c>
      <c r="P348" t="s">
        <v>1001</v>
      </c>
      <c r="Q348" t="s">
        <v>40</v>
      </c>
      <c r="T348" s="8">
        <v>60</v>
      </c>
      <c r="AB348" t="b">
        <f t="shared" si="5"/>
        <v>0</v>
      </c>
    </row>
    <row r="349" spans="1:28" ht="43.2" x14ac:dyDescent="0.3">
      <c r="A349">
        <v>897374</v>
      </c>
      <c r="B349" s="2" t="s">
        <v>1002</v>
      </c>
      <c r="D349" t="s">
        <v>1003</v>
      </c>
      <c r="AB349" t="b">
        <f t="shared" si="5"/>
        <v>0</v>
      </c>
    </row>
    <row r="350" spans="1:28" x14ac:dyDescent="0.3">
      <c r="A350">
        <v>897375</v>
      </c>
      <c r="B350" t="s">
        <v>1004</v>
      </c>
      <c r="AB350" t="b">
        <f t="shared" si="5"/>
        <v>0</v>
      </c>
    </row>
    <row r="351" spans="1:28" x14ac:dyDescent="0.3">
      <c r="A351">
        <v>897376</v>
      </c>
      <c r="B351" t="s">
        <v>1005</v>
      </c>
      <c r="D351" t="s">
        <v>1006</v>
      </c>
      <c r="G351">
        <v>341981</v>
      </c>
      <c r="H351">
        <v>11301701</v>
      </c>
      <c r="I351" t="s">
        <v>1007</v>
      </c>
      <c r="J351" s="5">
        <v>703957235081</v>
      </c>
      <c r="K351">
        <v>39131705</v>
      </c>
      <c r="L351" t="s">
        <v>1008</v>
      </c>
      <c r="M351">
        <v>268324</v>
      </c>
      <c r="N351" t="s">
        <v>1009</v>
      </c>
      <c r="O351" t="s">
        <v>1007</v>
      </c>
      <c r="Q351" t="s">
        <v>75</v>
      </c>
      <c r="R351" s="9">
        <v>0.69163036512604303</v>
      </c>
      <c r="S351" s="9">
        <v>39.068200129123397</v>
      </c>
      <c r="T351" s="9">
        <v>32.907757337837097</v>
      </c>
      <c r="U351" s="9">
        <v>53.326073025208601</v>
      </c>
      <c r="X351">
        <v>39131705</v>
      </c>
      <c r="Y351" s="8">
        <v>76.430999999999997</v>
      </c>
      <c r="Z351">
        <v>39131705</v>
      </c>
      <c r="AA351" s="8">
        <v>76.431809999999999</v>
      </c>
      <c r="AB351" t="b">
        <f t="shared" si="5"/>
        <v>0</v>
      </c>
    </row>
    <row r="352" spans="1:28" x14ac:dyDescent="0.3">
      <c r="A352">
        <v>897377</v>
      </c>
      <c r="B352" t="s">
        <v>1010</v>
      </c>
      <c r="AB352" t="b">
        <f t="shared" si="5"/>
        <v>0</v>
      </c>
    </row>
    <row r="353" spans="1:28" x14ac:dyDescent="0.3">
      <c r="A353">
        <v>897378</v>
      </c>
      <c r="B353" t="s">
        <v>1005</v>
      </c>
      <c r="D353" t="s">
        <v>1006</v>
      </c>
      <c r="G353">
        <v>341981</v>
      </c>
      <c r="H353">
        <v>11301701</v>
      </c>
      <c r="I353" t="s">
        <v>1007</v>
      </c>
      <c r="J353" s="5">
        <v>703957235081</v>
      </c>
      <c r="K353">
        <v>39131705</v>
      </c>
      <c r="L353" t="s">
        <v>1008</v>
      </c>
      <c r="M353">
        <v>268324</v>
      </c>
      <c r="N353" t="s">
        <v>1009</v>
      </c>
      <c r="O353" t="s">
        <v>1007</v>
      </c>
      <c r="Q353" t="s">
        <v>75</v>
      </c>
      <c r="R353" s="9">
        <v>0.691667848002821</v>
      </c>
      <c r="S353" s="9">
        <v>39.067793212439902</v>
      </c>
      <c r="T353" s="9">
        <v>32.908392322835098</v>
      </c>
      <c r="U353" s="9">
        <v>53.333569600564303</v>
      </c>
      <c r="X353">
        <v>39131705</v>
      </c>
      <c r="Y353" s="9">
        <v>76.433189999999897</v>
      </c>
      <c r="Z353">
        <v>39131705</v>
      </c>
      <c r="AA353" s="9">
        <v>76.446943999999903</v>
      </c>
      <c r="AB353" t="b">
        <f t="shared" si="5"/>
        <v>0</v>
      </c>
    </row>
    <row r="354" spans="1:28" x14ac:dyDescent="0.3">
      <c r="A354">
        <v>897379</v>
      </c>
      <c r="B354" t="s">
        <v>1011</v>
      </c>
      <c r="D354" t="s">
        <v>1012</v>
      </c>
      <c r="G354">
        <v>191260</v>
      </c>
      <c r="H354" t="s">
        <v>1013</v>
      </c>
      <c r="I354" t="s">
        <v>838</v>
      </c>
      <c r="J354" s="5">
        <v>783669470000</v>
      </c>
      <c r="K354">
        <v>39121428</v>
      </c>
      <c r="M354">
        <v>13961</v>
      </c>
      <c r="N354" t="s">
        <v>1014</v>
      </c>
      <c r="O354" t="s">
        <v>838</v>
      </c>
      <c r="Q354" t="s">
        <v>86</v>
      </c>
      <c r="R354" s="9">
        <v>0.41266298375002303</v>
      </c>
      <c r="S354" s="9">
        <v>53.133149187501097</v>
      </c>
      <c r="T354" s="9">
        <v>59.133149187501097</v>
      </c>
      <c r="U354" s="8">
        <v>0</v>
      </c>
      <c r="AB354" t="b">
        <f t="shared" si="5"/>
        <v>0</v>
      </c>
    </row>
    <row r="355" spans="1:28" ht="144" x14ac:dyDescent="0.3">
      <c r="A355">
        <v>897380</v>
      </c>
      <c r="B355" s="2" t="s">
        <v>1015</v>
      </c>
      <c r="D355" t="s">
        <v>1016</v>
      </c>
      <c r="AB355" t="b">
        <f t="shared" si="5"/>
        <v>0</v>
      </c>
    </row>
    <row r="356" spans="1:28" x14ac:dyDescent="0.3">
      <c r="A356">
        <v>897381</v>
      </c>
      <c r="B356" t="s">
        <v>1017</v>
      </c>
      <c r="D356" t="s">
        <v>1018</v>
      </c>
      <c r="AB356" t="b">
        <f t="shared" si="5"/>
        <v>0</v>
      </c>
    </row>
    <row r="357" spans="1:28" x14ac:dyDescent="0.3">
      <c r="A357">
        <v>897382</v>
      </c>
      <c r="B357" t="s">
        <v>1019</v>
      </c>
      <c r="D357" t="s">
        <v>1020</v>
      </c>
      <c r="AB357" t="b">
        <f t="shared" si="5"/>
        <v>0</v>
      </c>
    </row>
    <row r="358" spans="1:28" x14ac:dyDescent="0.3">
      <c r="A358">
        <v>897383</v>
      </c>
      <c r="B358" t="s">
        <v>1021</v>
      </c>
      <c r="D358" t="s">
        <v>1022</v>
      </c>
      <c r="AB358" t="b">
        <f t="shared" si="5"/>
        <v>0</v>
      </c>
    </row>
    <row r="359" spans="1:28" x14ac:dyDescent="0.3">
      <c r="A359">
        <v>897384</v>
      </c>
      <c r="B359" t="s">
        <v>1023</v>
      </c>
      <c r="D359" t="s">
        <v>1024</v>
      </c>
      <c r="O359" t="s">
        <v>1001</v>
      </c>
      <c r="P359" t="s">
        <v>1001</v>
      </c>
      <c r="Q359" t="s">
        <v>40</v>
      </c>
      <c r="T359" s="8">
        <v>60</v>
      </c>
      <c r="AB359" t="b">
        <f t="shared" si="5"/>
        <v>0</v>
      </c>
    </row>
    <row r="360" spans="1:28" x14ac:dyDescent="0.3">
      <c r="A360">
        <v>897385</v>
      </c>
      <c r="B360" t="s">
        <v>1025</v>
      </c>
      <c r="D360" t="s">
        <v>1026</v>
      </c>
      <c r="AB360" t="b">
        <f t="shared" si="5"/>
        <v>0</v>
      </c>
    </row>
    <row r="361" spans="1:28" x14ac:dyDescent="0.3">
      <c r="A361">
        <v>897386</v>
      </c>
      <c r="B361" t="s">
        <v>1027</v>
      </c>
      <c r="D361" t="s">
        <v>1028</v>
      </c>
      <c r="AB361" t="b">
        <f t="shared" si="5"/>
        <v>0</v>
      </c>
    </row>
    <row r="362" spans="1:28" x14ac:dyDescent="0.3">
      <c r="A362">
        <v>897387</v>
      </c>
      <c r="B362" t="s">
        <v>938</v>
      </c>
      <c r="D362" t="s">
        <v>939</v>
      </c>
      <c r="AB362" t="b">
        <f t="shared" si="5"/>
        <v>0</v>
      </c>
    </row>
    <row r="363" spans="1:28" x14ac:dyDescent="0.3">
      <c r="A363">
        <v>897388</v>
      </c>
      <c r="B363" t="s">
        <v>1005</v>
      </c>
      <c r="D363" t="s">
        <v>1006</v>
      </c>
      <c r="G363">
        <v>341981</v>
      </c>
      <c r="H363">
        <v>11301701</v>
      </c>
      <c r="I363" t="s">
        <v>1007</v>
      </c>
      <c r="J363" s="5">
        <v>703957235081</v>
      </c>
      <c r="K363">
        <v>39131705</v>
      </c>
      <c r="L363" t="s">
        <v>1008</v>
      </c>
      <c r="M363">
        <v>268324</v>
      </c>
      <c r="N363" t="s">
        <v>1009</v>
      </c>
      <c r="O363" t="s">
        <v>1007</v>
      </c>
      <c r="Q363" t="s">
        <v>75</v>
      </c>
      <c r="R363" s="8">
        <v>0.69164124639484004</v>
      </c>
      <c r="S363" s="9">
        <v>39.068445152516603</v>
      </c>
      <c r="T363" s="9">
        <v>32.908153687438698</v>
      </c>
      <c r="U363" s="8">
        <v>53.328249278968002</v>
      </c>
      <c r="X363">
        <v>39131705</v>
      </c>
      <c r="Y363" s="8">
        <v>76.431640000000002</v>
      </c>
      <c r="Z363">
        <v>39131705</v>
      </c>
      <c r="AA363" s="8">
        <v>76.431809999999999</v>
      </c>
      <c r="AB363" t="b">
        <f t="shared" si="5"/>
        <v>0</v>
      </c>
    </row>
    <row r="364" spans="1:28" x14ac:dyDescent="0.3">
      <c r="A364">
        <v>897389</v>
      </c>
      <c r="B364" t="s">
        <v>1029</v>
      </c>
      <c r="D364" t="s">
        <v>1030</v>
      </c>
      <c r="G364">
        <v>292083</v>
      </c>
      <c r="H364">
        <v>1626</v>
      </c>
      <c r="I364" t="s">
        <v>1031</v>
      </c>
      <c r="J364" s="5">
        <v>808475028754</v>
      </c>
      <c r="K364">
        <v>39121621</v>
      </c>
      <c r="M364">
        <v>83174</v>
      </c>
      <c r="N364" t="s">
        <v>1032</v>
      </c>
      <c r="O364" t="s">
        <v>1031</v>
      </c>
      <c r="Q364" t="s">
        <v>75</v>
      </c>
      <c r="R364" s="9">
        <v>0.36736874085018401</v>
      </c>
      <c r="S364" s="9">
        <v>30.8684370425092</v>
      </c>
      <c r="T364" s="9">
        <v>10.8684370425092</v>
      </c>
      <c r="U364" s="8">
        <v>0</v>
      </c>
      <c r="X364">
        <v>43202222</v>
      </c>
      <c r="Y364" s="9">
        <v>77.317459999999997</v>
      </c>
      <c r="Z364">
        <v>43202222</v>
      </c>
      <c r="AA364" s="9">
        <v>77.317459999999997</v>
      </c>
      <c r="AB364" t="b">
        <f t="shared" si="5"/>
        <v>0</v>
      </c>
    </row>
    <row r="365" spans="1:28" x14ac:dyDescent="0.3">
      <c r="A365">
        <v>897390</v>
      </c>
      <c r="B365" t="s">
        <v>1033</v>
      </c>
      <c r="D365" t="s">
        <v>1034</v>
      </c>
      <c r="G365">
        <v>320641</v>
      </c>
      <c r="H365" t="s">
        <v>1035</v>
      </c>
      <c r="I365" t="s">
        <v>84</v>
      </c>
      <c r="J365" s="5">
        <v>782979232964</v>
      </c>
      <c r="K365">
        <v>39111706</v>
      </c>
      <c r="M365">
        <v>177620</v>
      </c>
      <c r="N365" t="s">
        <v>1036</v>
      </c>
      <c r="O365" t="s">
        <v>84</v>
      </c>
      <c r="Q365" t="s">
        <v>86</v>
      </c>
      <c r="R365" s="9">
        <v>0.78762889050481899</v>
      </c>
      <c r="S365" s="8">
        <v>100</v>
      </c>
      <c r="T365" s="9">
        <v>95.881444525240894</v>
      </c>
      <c r="U365" s="8">
        <v>91.525778100963805</v>
      </c>
      <c r="X365">
        <v>39111706</v>
      </c>
      <c r="Y365" s="8">
        <v>82.483006000000003</v>
      </c>
      <c r="Z365">
        <v>39111706</v>
      </c>
      <c r="AA365" s="8">
        <v>82.483006000000003</v>
      </c>
      <c r="AB365" t="b">
        <f t="shared" si="5"/>
        <v>0</v>
      </c>
    </row>
    <row r="366" spans="1:28" x14ac:dyDescent="0.3">
      <c r="A366">
        <v>897391</v>
      </c>
      <c r="B366" t="s">
        <v>1037</v>
      </c>
      <c r="D366" t="s">
        <v>1038</v>
      </c>
      <c r="O366" t="s">
        <v>1001</v>
      </c>
      <c r="P366" t="s">
        <v>1001</v>
      </c>
      <c r="Q366" t="s">
        <v>40</v>
      </c>
      <c r="T366" s="8">
        <v>60</v>
      </c>
      <c r="AB366" t="b">
        <f t="shared" si="5"/>
        <v>0</v>
      </c>
    </row>
    <row r="367" spans="1:28" x14ac:dyDescent="0.3">
      <c r="A367">
        <v>897392</v>
      </c>
      <c r="B367" t="s">
        <v>1039</v>
      </c>
      <c r="D367" t="s">
        <v>1040</v>
      </c>
      <c r="O367" t="s">
        <v>1041</v>
      </c>
      <c r="P367" t="s">
        <v>1041</v>
      </c>
      <c r="Q367" t="s">
        <v>40</v>
      </c>
      <c r="T367" s="8">
        <v>90</v>
      </c>
      <c r="AB367" t="b">
        <f t="shared" si="5"/>
        <v>0</v>
      </c>
    </row>
    <row r="368" spans="1:28" x14ac:dyDescent="0.3">
      <c r="A368">
        <v>897393</v>
      </c>
      <c r="B368" t="s">
        <v>1042</v>
      </c>
      <c r="D368" t="s">
        <v>1040</v>
      </c>
      <c r="AB368" t="b">
        <f t="shared" si="5"/>
        <v>0</v>
      </c>
    </row>
    <row r="369" spans="1:28" x14ac:dyDescent="0.3">
      <c r="A369">
        <v>897395</v>
      </c>
      <c r="B369" t="s">
        <v>1042</v>
      </c>
      <c r="D369" t="s">
        <v>1040</v>
      </c>
      <c r="AB369" t="b">
        <f t="shared" si="5"/>
        <v>0</v>
      </c>
    </row>
    <row r="370" spans="1:28" x14ac:dyDescent="0.3">
      <c r="A370">
        <v>897396</v>
      </c>
      <c r="B370" t="s">
        <v>1043</v>
      </c>
      <c r="X370">
        <v>47131502</v>
      </c>
      <c r="Y370" s="8">
        <v>77.217770000000002</v>
      </c>
      <c r="Z370">
        <v>47131502</v>
      </c>
      <c r="AA370" s="8">
        <v>77.217770000000002</v>
      </c>
      <c r="AB370" t="b">
        <f t="shared" si="5"/>
        <v>0</v>
      </c>
    </row>
    <row r="371" spans="1:28" x14ac:dyDescent="0.3">
      <c r="A371">
        <v>897397</v>
      </c>
      <c r="B371" t="s">
        <v>1044</v>
      </c>
      <c r="X371">
        <v>23241634</v>
      </c>
      <c r="Y371" s="8">
        <v>61.157496000000002</v>
      </c>
      <c r="Z371">
        <v>23241634</v>
      </c>
      <c r="AA371" s="8">
        <v>61.157496000000002</v>
      </c>
      <c r="AB371" t="b">
        <f t="shared" si="5"/>
        <v>0</v>
      </c>
    </row>
    <row r="372" spans="1:28" x14ac:dyDescent="0.3">
      <c r="A372">
        <v>897398</v>
      </c>
      <c r="B372" t="s">
        <v>1045</v>
      </c>
      <c r="O372" t="s">
        <v>1046</v>
      </c>
      <c r="P372" t="s">
        <v>1046</v>
      </c>
      <c r="Q372" t="s">
        <v>40</v>
      </c>
      <c r="T372" s="8">
        <v>70</v>
      </c>
      <c r="AB372" t="b">
        <f t="shared" si="5"/>
        <v>0</v>
      </c>
    </row>
    <row r="373" spans="1:28" x14ac:dyDescent="0.3">
      <c r="A373">
        <v>897399</v>
      </c>
      <c r="B373" t="s">
        <v>1047</v>
      </c>
      <c r="O373" t="s">
        <v>1048</v>
      </c>
      <c r="P373" t="s">
        <v>1049</v>
      </c>
      <c r="Q373" t="s">
        <v>40</v>
      </c>
      <c r="T373" s="8">
        <v>95</v>
      </c>
      <c r="X373">
        <v>27112806</v>
      </c>
      <c r="Y373" s="8">
        <v>77.770899999999997</v>
      </c>
      <c r="Z373">
        <v>27112806</v>
      </c>
      <c r="AA373" s="8">
        <v>77.770899999999997</v>
      </c>
      <c r="AB373" t="b">
        <f t="shared" si="5"/>
        <v>0</v>
      </c>
    </row>
    <row r="374" spans="1:28" x14ac:dyDescent="0.3">
      <c r="A374">
        <v>897402</v>
      </c>
      <c r="B374" t="s">
        <v>1050</v>
      </c>
      <c r="X374">
        <v>39121457</v>
      </c>
      <c r="Y374" s="9">
        <v>56.830350000000003</v>
      </c>
      <c r="Z374">
        <v>39121457</v>
      </c>
      <c r="AA374" s="9">
        <v>56.830350000000003</v>
      </c>
      <c r="AB374" t="b">
        <f t="shared" si="5"/>
        <v>0</v>
      </c>
    </row>
    <row r="375" spans="1:28" x14ac:dyDescent="0.3">
      <c r="A375">
        <v>897403</v>
      </c>
      <c r="B375" t="s">
        <v>1051</v>
      </c>
      <c r="AB375" t="b">
        <f t="shared" si="5"/>
        <v>0</v>
      </c>
    </row>
    <row r="376" spans="1:28" x14ac:dyDescent="0.3">
      <c r="A376">
        <v>897404</v>
      </c>
      <c r="B376" t="s">
        <v>1052</v>
      </c>
      <c r="AB376" t="b">
        <f t="shared" si="5"/>
        <v>0</v>
      </c>
    </row>
    <row r="377" spans="1:28" ht="72" x14ac:dyDescent="0.3">
      <c r="A377">
        <v>897405</v>
      </c>
      <c r="B377" s="2" t="s">
        <v>1053</v>
      </c>
      <c r="C377" t="s">
        <v>1054</v>
      </c>
      <c r="D377" t="s">
        <v>289</v>
      </c>
      <c r="E377" t="s">
        <v>1055</v>
      </c>
      <c r="G377">
        <v>335696</v>
      </c>
      <c r="H377" t="s">
        <v>290</v>
      </c>
      <c r="I377" t="s">
        <v>104</v>
      </c>
      <c r="J377" s="5">
        <v>781011213305</v>
      </c>
      <c r="K377">
        <v>30101804</v>
      </c>
      <c r="L377" t="s">
        <v>103</v>
      </c>
      <c r="M377">
        <v>253277</v>
      </c>
      <c r="N377" t="s">
        <v>1056</v>
      </c>
      <c r="O377" t="s">
        <v>48</v>
      </c>
      <c r="Q377" t="s">
        <v>86</v>
      </c>
      <c r="R377" s="9">
        <v>0.89597790129077803</v>
      </c>
      <c r="S377" s="8">
        <v>100</v>
      </c>
      <c r="T377" s="8">
        <v>100</v>
      </c>
      <c r="U377" s="8">
        <v>100</v>
      </c>
      <c r="V377" t="s">
        <v>104</v>
      </c>
      <c r="W377" s="9">
        <v>90.577879999999993</v>
      </c>
      <c r="X377">
        <v>30101804</v>
      </c>
      <c r="Y377" s="9">
        <v>90.577879999999993</v>
      </c>
      <c r="Z377">
        <v>30101804</v>
      </c>
      <c r="AA377" s="9">
        <v>90.484471999999997</v>
      </c>
      <c r="AB377" t="b">
        <f t="shared" si="5"/>
        <v>0</v>
      </c>
    </row>
    <row r="378" spans="1:28" x14ac:dyDescent="0.3">
      <c r="A378">
        <v>897406</v>
      </c>
      <c r="B378" t="s">
        <v>1057</v>
      </c>
      <c r="AB378" t="b">
        <f t="shared" si="5"/>
        <v>0</v>
      </c>
    </row>
    <row r="379" spans="1:28" x14ac:dyDescent="0.3">
      <c r="A379">
        <v>897407</v>
      </c>
      <c r="B379" t="s">
        <v>1058</v>
      </c>
      <c r="C379" t="s">
        <v>1054</v>
      </c>
      <c r="D379" t="s">
        <v>1059</v>
      </c>
      <c r="E379" t="s">
        <v>1060</v>
      </c>
      <c r="V379" t="s">
        <v>104</v>
      </c>
      <c r="W379" s="8">
        <v>93.619405999999998</v>
      </c>
      <c r="X379">
        <v>31161812</v>
      </c>
      <c r="Y379" s="9">
        <v>83.217249777777695</v>
      </c>
      <c r="Z379">
        <v>31161812</v>
      </c>
      <c r="AA379" s="8">
        <v>92.749557999999993</v>
      </c>
      <c r="AB379" t="b">
        <f t="shared" si="5"/>
        <v>0</v>
      </c>
    </row>
    <row r="380" spans="1:28" x14ac:dyDescent="0.3">
      <c r="A380">
        <v>897408</v>
      </c>
      <c r="B380" t="s">
        <v>1061</v>
      </c>
      <c r="C380" t="s">
        <v>1062</v>
      </c>
      <c r="D380" t="s">
        <v>1063</v>
      </c>
      <c r="E380" t="s">
        <v>1064</v>
      </c>
      <c r="G380">
        <v>340252</v>
      </c>
      <c r="H380" t="s">
        <v>1065</v>
      </c>
      <c r="I380" t="s">
        <v>227</v>
      </c>
      <c r="J380" s="5">
        <v>785007262056</v>
      </c>
      <c r="K380">
        <v>39121406</v>
      </c>
      <c r="L380" t="s">
        <v>1066</v>
      </c>
      <c r="M380">
        <v>268361</v>
      </c>
      <c r="N380" t="s">
        <v>1067</v>
      </c>
      <c r="O380" t="s">
        <v>227</v>
      </c>
      <c r="Q380" t="s">
        <v>75</v>
      </c>
      <c r="R380" s="9">
        <v>0.752822770379588</v>
      </c>
      <c r="S380" s="9">
        <v>24.715015108252899</v>
      </c>
      <c r="T380" s="9">
        <v>25.027124666391899</v>
      </c>
      <c r="U380" s="9">
        <v>79.782277037958806</v>
      </c>
      <c r="V380" t="s">
        <v>578</v>
      </c>
      <c r="W380" s="8">
        <v>86.105644999999996</v>
      </c>
      <c r="X380">
        <v>39121406</v>
      </c>
      <c r="Y380" s="8">
        <v>86.105644999999996</v>
      </c>
      <c r="Z380">
        <v>39121406</v>
      </c>
      <c r="AA380" s="9">
        <v>86.069553999999997</v>
      </c>
      <c r="AB380" t="b">
        <f t="shared" si="5"/>
        <v>0</v>
      </c>
    </row>
    <row r="381" spans="1:28" x14ac:dyDescent="0.3">
      <c r="A381">
        <v>897409</v>
      </c>
      <c r="B381" t="s">
        <v>1068</v>
      </c>
      <c r="C381" t="s">
        <v>1054</v>
      </c>
      <c r="D381" t="s">
        <v>1069</v>
      </c>
      <c r="E381" t="s">
        <v>1070</v>
      </c>
      <c r="G381">
        <v>335842</v>
      </c>
      <c r="H381" t="s">
        <v>1071</v>
      </c>
      <c r="I381" t="s">
        <v>104</v>
      </c>
      <c r="J381" s="5">
        <v>781011500436</v>
      </c>
      <c r="K381">
        <v>30101504</v>
      </c>
      <c r="L381" t="s">
        <v>1070</v>
      </c>
      <c r="M381">
        <v>253241</v>
      </c>
      <c r="N381" t="s">
        <v>1072</v>
      </c>
      <c r="O381" t="s">
        <v>48</v>
      </c>
      <c r="Q381" t="s">
        <v>86</v>
      </c>
      <c r="R381" s="9">
        <v>0.98435022460102795</v>
      </c>
      <c r="S381" s="9">
        <v>91.7175112300514</v>
      </c>
      <c r="T381" s="9">
        <v>93.7175112300514</v>
      </c>
      <c r="U381" s="8">
        <v>100</v>
      </c>
      <c r="V381" t="s">
        <v>104</v>
      </c>
      <c r="W381" s="8">
        <v>98.459149999999994</v>
      </c>
      <c r="X381">
        <v>30101504</v>
      </c>
      <c r="Y381" s="9">
        <v>87.519244444444396</v>
      </c>
      <c r="Z381">
        <v>30101504</v>
      </c>
      <c r="AA381" s="8">
        <v>98.459149999999994</v>
      </c>
      <c r="AB381" t="b">
        <f t="shared" si="5"/>
        <v>0</v>
      </c>
    </row>
    <row r="382" spans="1:28" x14ac:dyDescent="0.3">
      <c r="A382">
        <v>897410</v>
      </c>
      <c r="B382" t="s">
        <v>1073</v>
      </c>
      <c r="C382" t="s">
        <v>1054</v>
      </c>
      <c r="D382" t="s">
        <v>289</v>
      </c>
      <c r="E382" t="s">
        <v>103</v>
      </c>
      <c r="G382">
        <v>335696</v>
      </c>
      <c r="H382" t="s">
        <v>290</v>
      </c>
      <c r="I382" t="s">
        <v>104</v>
      </c>
      <c r="J382" s="5">
        <v>781011213305</v>
      </c>
      <c r="K382">
        <v>30101804</v>
      </c>
      <c r="L382" t="s">
        <v>103</v>
      </c>
      <c r="M382">
        <v>253276</v>
      </c>
      <c r="N382" t="s">
        <v>1074</v>
      </c>
      <c r="O382" t="s">
        <v>48</v>
      </c>
      <c r="Q382" t="s">
        <v>86</v>
      </c>
      <c r="R382" s="9">
        <v>0.88617273723162504</v>
      </c>
      <c r="S382" s="8">
        <v>100</v>
      </c>
      <c r="T382" s="8">
        <v>100</v>
      </c>
      <c r="U382" s="8">
        <v>100</v>
      </c>
      <c r="V382" t="s">
        <v>104</v>
      </c>
      <c r="W382" s="8">
        <v>89.780540000000002</v>
      </c>
      <c r="X382">
        <v>30101804</v>
      </c>
      <c r="Y382" s="8">
        <v>89.780540000000002</v>
      </c>
      <c r="Z382">
        <v>30101804</v>
      </c>
      <c r="AA382" s="8">
        <v>89.780540000000002</v>
      </c>
      <c r="AB382" t="b">
        <f t="shared" si="5"/>
        <v>0</v>
      </c>
    </row>
    <row r="383" spans="1:28" x14ac:dyDescent="0.3">
      <c r="A383">
        <v>897411</v>
      </c>
      <c r="B383" t="s">
        <v>1075</v>
      </c>
      <c r="C383" t="s">
        <v>1076</v>
      </c>
      <c r="D383" t="s">
        <v>1077</v>
      </c>
      <c r="E383" t="s">
        <v>1078</v>
      </c>
      <c r="G383">
        <v>330747</v>
      </c>
      <c r="H383" t="s">
        <v>1077</v>
      </c>
      <c r="I383" t="s">
        <v>1079</v>
      </c>
      <c r="J383" s="5">
        <v>784491606254</v>
      </c>
      <c r="K383">
        <v>27112820</v>
      </c>
      <c r="M383">
        <v>214122</v>
      </c>
      <c r="N383" t="s">
        <v>1080</v>
      </c>
      <c r="O383" t="s">
        <v>1079</v>
      </c>
      <c r="Q383" t="s">
        <v>86</v>
      </c>
      <c r="R383" s="9">
        <v>0.52315317371316405</v>
      </c>
      <c r="S383" s="9">
        <v>68.657658685658205</v>
      </c>
      <c r="T383" s="9">
        <v>70.657658685658205</v>
      </c>
      <c r="U383" s="9">
        <v>26.6306347426329</v>
      </c>
      <c r="AB383" t="b">
        <f t="shared" si="5"/>
        <v>0</v>
      </c>
    </row>
    <row r="384" spans="1:28" x14ac:dyDescent="0.3">
      <c r="A384">
        <v>897412</v>
      </c>
      <c r="B384" t="s">
        <v>1081</v>
      </c>
      <c r="C384" t="s">
        <v>1082</v>
      </c>
      <c r="D384" t="s">
        <v>1083</v>
      </c>
      <c r="E384" t="s">
        <v>1084</v>
      </c>
      <c r="G384">
        <v>337090</v>
      </c>
      <c r="H384" t="s">
        <v>1083</v>
      </c>
      <c r="I384" t="s">
        <v>343</v>
      </c>
      <c r="J384" s="5">
        <v>783510499990</v>
      </c>
      <c r="K384">
        <v>39121332</v>
      </c>
      <c r="L384" t="s">
        <v>1084</v>
      </c>
      <c r="M384">
        <v>259540</v>
      </c>
      <c r="N384" t="s">
        <v>1081</v>
      </c>
      <c r="O384" t="s">
        <v>343</v>
      </c>
      <c r="Q384" t="s">
        <v>86</v>
      </c>
      <c r="R384" s="8">
        <v>0.99994837204600995</v>
      </c>
      <c r="S384" s="8">
        <v>100</v>
      </c>
      <c r="T384" s="8">
        <v>100</v>
      </c>
      <c r="U384" s="8">
        <v>100</v>
      </c>
      <c r="V384" t="s">
        <v>343</v>
      </c>
      <c r="W384" s="9">
        <v>99.994839999999897</v>
      </c>
      <c r="X384">
        <v>39121303</v>
      </c>
      <c r="Y384" s="8">
        <v>97.874120000000005</v>
      </c>
      <c r="Z384">
        <v>39121303</v>
      </c>
      <c r="AA384" s="8">
        <v>97.874120000000005</v>
      </c>
      <c r="AB384" t="b">
        <f t="shared" si="5"/>
        <v>0</v>
      </c>
    </row>
    <row r="385" spans="1:28" x14ac:dyDescent="0.3">
      <c r="A385">
        <v>897413</v>
      </c>
      <c r="B385" t="s">
        <v>1085</v>
      </c>
      <c r="C385" t="s">
        <v>1082</v>
      </c>
      <c r="D385" t="s">
        <v>1086</v>
      </c>
      <c r="E385" t="s">
        <v>1087</v>
      </c>
      <c r="G385">
        <v>101969</v>
      </c>
      <c r="H385" t="s">
        <v>1086</v>
      </c>
      <c r="I385" t="s">
        <v>343</v>
      </c>
      <c r="J385" s="5">
        <v>783510438104</v>
      </c>
      <c r="K385">
        <v>39121303</v>
      </c>
      <c r="M385">
        <v>1815</v>
      </c>
      <c r="N385" t="s">
        <v>1088</v>
      </c>
      <c r="O385" t="s">
        <v>343</v>
      </c>
      <c r="Q385" t="s">
        <v>86</v>
      </c>
      <c r="R385" s="9">
        <v>0.90290561882690301</v>
      </c>
      <c r="S385" s="8">
        <v>100</v>
      </c>
      <c r="T385" s="8">
        <v>100</v>
      </c>
      <c r="U385" s="8">
        <v>100</v>
      </c>
      <c r="V385" t="s">
        <v>343</v>
      </c>
      <c r="W385" s="9">
        <v>98.454004999999995</v>
      </c>
      <c r="X385">
        <v>39121300</v>
      </c>
      <c r="Y385" s="9">
        <v>98.454004999999995</v>
      </c>
      <c r="Z385">
        <v>39121300</v>
      </c>
      <c r="AA385" s="9">
        <v>98.454004999999995</v>
      </c>
      <c r="AB385" t="b">
        <f t="shared" si="5"/>
        <v>0</v>
      </c>
    </row>
    <row r="386" spans="1:28" x14ac:dyDescent="0.3">
      <c r="A386">
        <v>897414</v>
      </c>
      <c r="B386" t="s">
        <v>1089</v>
      </c>
      <c r="C386" t="s">
        <v>1090</v>
      </c>
      <c r="D386" t="s">
        <v>1091</v>
      </c>
      <c r="E386" t="s">
        <v>1092</v>
      </c>
      <c r="G386">
        <v>339534</v>
      </c>
      <c r="H386">
        <v>36241</v>
      </c>
      <c r="I386" t="s">
        <v>603</v>
      </c>
      <c r="J386" s="5">
        <v>783250362417</v>
      </c>
      <c r="K386">
        <v>27111701</v>
      </c>
      <c r="L386" t="s">
        <v>1092</v>
      </c>
      <c r="M386">
        <v>260678</v>
      </c>
      <c r="N386" t="s">
        <v>1093</v>
      </c>
      <c r="O386" t="s">
        <v>603</v>
      </c>
      <c r="Q386" t="s">
        <v>86</v>
      </c>
      <c r="R386" s="8">
        <v>0.94271988709118004</v>
      </c>
      <c r="S386" s="9">
        <v>38.782185797921699</v>
      </c>
      <c r="T386" s="9">
        <v>36.565985191388201</v>
      </c>
      <c r="U386" s="8">
        <v>100</v>
      </c>
      <c r="V386" t="s">
        <v>603</v>
      </c>
      <c r="W386" s="9">
        <v>94.582309999999893</v>
      </c>
      <c r="X386">
        <v>27111701</v>
      </c>
      <c r="Y386" s="9">
        <v>94.582309999999893</v>
      </c>
      <c r="Z386">
        <v>27111701</v>
      </c>
      <c r="AA386" s="9">
        <v>92.451994999999997</v>
      </c>
      <c r="AB386" t="b">
        <f t="shared" si="5"/>
        <v>1</v>
      </c>
    </row>
    <row r="387" spans="1:28" x14ac:dyDescent="0.3">
      <c r="A387">
        <v>897415</v>
      </c>
      <c r="B387" t="s">
        <v>1094</v>
      </c>
      <c r="X387">
        <v>39121406</v>
      </c>
      <c r="Y387" s="8">
        <v>84.073480000000004</v>
      </c>
      <c r="Z387">
        <v>39121406</v>
      </c>
      <c r="AA387" s="8">
        <v>84.073530000000005</v>
      </c>
      <c r="AB387" t="b">
        <f t="shared" ref="AB387:AB450" si="6">(AA387-Y387)&lt;-1</f>
        <v>0</v>
      </c>
    </row>
    <row r="388" spans="1:28" x14ac:dyDescent="0.3">
      <c r="A388">
        <v>897416</v>
      </c>
      <c r="B388" t="s">
        <v>1095</v>
      </c>
      <c r="C388" t="s">
        <v>1096</v>
      </c>
      <c r="G388">
        <v>336654</v>
      </c>
      <c r="H388" t="s">
        <v>1097</v>
      </c>
      <c r="I388" t="s">
        <v>227</v>
      </c>
      <c r="J388" s="5">
        <v>785007044546</v>
      </c>
      <c r="K388">
        <v>39121400</v>
      </c>
      <c r="L388" t="s">
        <v>1098</v>
      </c>
      <c r="M388">
        <v>265960</v>
      </c>
      <c r="N388" t="s">
        <v>1099</v>
      </c>
      <c r="O388" t="s">
        <v>227</v>
      </c>
      <c r="Q388" t="s">
        <v>86</v>
      </c>
      <c r="R388" s="9">
        <v>0.77961512697513202</v>
      </c>
      <c r="S388" s="9">
        <v>96.4807563487566</v>
      </c>
      <c r="T388" s="9">
        <v>92.4807563487566</v>
      </c>
      <c r="U388" s="9">
        <v>86.9230253950264</v>
      </c>
      <c r="X388">
        <v>39121400</v>
      </c>
      <c r="Y388" s="8">
        <v>81.941366000000002</v>
      </c>
      <c r="Z388">
        <v>39121400</v>
      </c>
      <c r="AA388" s="8">
        <v>81.941366000000002</v>
      </c>
      <c r="AB388" t="b">
        <f t="shared" si="6"/>
        <v>0</v>
      </c>
    </row>
    <row r="389" spans="1:28" x14ac:dyDescent="0.3">
      <c r="A389">
        <v>897417</v>
      </c>
      <c r="B389" t="s">
        <v>1100</v>
      </c>
      <c r="C389" t="s">
        <v>1096</v>
      </c>
      <c r="V389" t="s">
        <v>227</v>
      </c>
      <c r="W389" s="8">
        <v>90.06335</v>
      </c>
      <c r="X389">
        <v>39121406</v>
      </c>
      <c r="Y389" s="8">
        <v>90.06335</v>
      </c>
      <c r="Z389">
        <v>39121406</v>
      </c>
      <c r="AA389" s="8">
        <v>90.06335</v>
      </c>
      <c r="AB389" t="b">
        <f t="shared" si="6"/>
        <v>0</v>
      </c>
    </row>
    <row r="390" spans="1:28" x14ac:dyDescent="0.3">
      <c r="A390">
        <v>897418</v>
      </c>
      <c r="B390" t="s">
        <v>1101</v>
      </c>
      <c r="C390" t="s">
        <v>1102</v>
      </c>
      <c r="D390">
        <v>451</v>
      </c>
      <c r="E390" t="s">
        <v>307</v>
      </c>
      <c r="O390" t="s">
        <v>45</v>
      </c>
      <c r="P390" t="s">
        <v>42</v>
      </c>
      <c r="Q390" t="s">
        <v>40</v>
      </c>
      <c r="T390" s="8">
        <v>60</v>
      </c>
      <c r="V390" t="s">
        <v>308</v>
      </c>
      <c r="W390" s="8">
        <v>89.067769999999996</v>
      </c>
      <c r="X390">
        <v>39121434</v>
      </c>
      <c r="Y390" s="9">
        <v>53.440661999999897</v>
      </c>
      <c r="Z390">
        <v>39121434</v>
      </c>
      <c r="AA390" s="9">
        <v>53.440661999999897</v>
      </c>
      <c r="AB390" t="b">
        <f t="shared" si="6"/>
        <v>0</v>
      </c>
    </row>
    <row r="391" spans="1:28" x14ac:dyDescent="0.3">
      <c r="A391">
        <v>897419</v>
      </c>
      <c r="B391" t="s">
        <v>1103</v>
      </c>
      <c r="C391" t="s">
        <v>1104</v>
      </c>
      <c r="D391" t="s">
        <v>1105</v>
      </c>
      <c r="E391" t="s">
        <v>1106</v>
      </c>
      <c r="G391">
        <v>335721</v>
      </c>
      <c r="H391" t="s">
        <v>1105</v>
      </c>
      <c r="I391" t="s">
        <v>321</v>
      </c>
      <c r="J391" s="5">
        <v>781002177753</v>
      </c>
      <c r="K391">
        <v>31161528</v>
      </c>
      <c r="L391" t="s">
        <v>1106</v>
      </c>
      <c r="M391">
        <v>258081</v>
      </c>
      <c r="N391" t="s">
        <v>1107</v>
      </c>
      <c r="O391" t="s">
        <v>321</v>
      </c>
      <c r="Q391" t="s">
        <v>86</v>
      </c>
      <c r="R391" s="9">
        <v>0.935236087575676</v>
      </c>
      <c r="S391" s="9">
        <v>99.261804378783793</v>
      </c>
      <c r="T391" s="9">
        <v>97.261804378783793</v>
      </c>
      <c r="U391" s="8">
        <v>100</v>
      </c>
      <c r="V391" t="s">
        <v>321</v>
      </c>
      <c r="W391" s="8">
        <v>93.917540000000002</v>
      </c>
      <c r="X391">
        <v>31161528</v>
      </c>
      <c r="Y391" s="8">
        <v>93.917540000000002</v>
      </c>
      <c r="Z391">
        <v>31161528</v>
      </c>
      <c r="AA391" s="8">
        <v>93.711887500000003</v>
      </c>
      <c r="AB391" t="b">
        <f t="shared" si="6"/>
        <v>0</v>
      </c>
    </row>
    <row r="392" spans="1:28" x14ac:dyDescent="0.3">
      <c r="A392">
        <v>897420</v>
      </c>
      <c r="B392" t="s">
        <v>1108</v>
      </c>
      <c r="C392" t="s">
        <v>1109</v>
      </c>
      <c r="D392" t="s">
        <v>1110</v>
      </c>
      <c r="E392" t="s">
        <v>1111</v>
      </c>
      <c r="X392">
        <v>26121600</v>
      </c>
      <c r="Y392" s="8">
        <v>76.848643999999993</v>
      </c>
      <c r="Z392">
        <v>26121600</v>
      </c>
      <c r="AA392" s="8">
        <v>76.848643999999993</v>
      </c>
      <c r="AB392" t="b">
        <f t="shared" si="6"/>
        <v>0</v>
      </c>
    </row>
    <row r="393" spans="1:28" x14ac:dyDescent="0.3">
      <c r="A393">
        <v>897421</v>
      </c>
      <c r="B393" t="s">
        <v>1112</v>
      </c>
      <c r="C393" t="s">
        <v>1113</v>
      </c>
      <c r="D393" t="s">
        <v>1114</v>
      </c>
      <c r="E393" t="s">
        <v>1115</v>
      </c>
      <c r="X393">
        <v>39131707</v>
      </c>
      <c r="Y393" s="9">
        <v>45.636467999999901</v>
      </c>
      <c r="Z393">
        <v>39131707</v>
      </c>
      <c r="AA393" s="9">
        <v>45.636467999999901</v>
      </c>
      <c r="AB393" t="b">
        <f t="shared" si="6"/>
        <v>0</v>
      </c>
    </row>
    <row r="394" spans="1:28" x14ac:dyDescent="0.3">
      <c r="A394">
        <v>897422</v>
      </c>
      <c r="B394" t="s">
        <v>1116</v>
      </c>
      <c r="C394" t="s">
        <v>1117</v>
      </c>
      <c r="D394" t="s">
        <v>1118</v>
      </c>
      <c r="E394" t="s">
        <v>1119</v>
      </c>
      <c r="G394">
        <v>335822</v>
      </c>
      <c r="H394" t="s">
        <v>1118</v>
      </c>
      <c r="I394" t="s">
        <v>417</v>
      </c>
      <c r="J394" s="6" t="s">
        <v>1120</v>
      </c>
      <c r="K394">
        <v>39121438</v>
      </c>
      <c r="L394" t="s">
        <v>1119</v>
      </c>
      <c r="M394">
        <v>252635</v>
      </c>
      <c r="N394" t="s">
        <v>1121</v>
      </c>
      <c r="O394" t="s">
        <v>417</v>
      </c>
      <c r="Q394" t="s">
        <v>86</v>
      </c>
      <c r="R394" s="9">
        <v>0.95113925169228697</v>
      </c>
      <c r="S394" s="9">
        <v>90.056962584614297</v>
      </c>
      <c r="T394" s="9">
        <v>92.056962584614297</v>
      </c>
      <c r="U394" s="8">
        <v>100</v>
      </c>
      <c r="V394" t="s">
        <v>417</v>
      </c>
      <c r="W394" s="9">
        <v>95.341539999999995</v>
      </c>
      <c r="X394">
        <v>39121438</v>
      </c>
      <c r="Y394" s="9">
        <v>95.341539999999995</v>
      </c>
      <c r="Z394">
        <v>39121438</v>
      </c>
      <c r="AA394" s="9">
        <v>95.341539999999995</v>
      </c>
      <c r="AB394" t="b">
        <f t="shared" si="6"/>
        <v>0</v>
      </c>
    </row>
    <row r="395" spans="1:28" x14ac:dyDescent="0.3">
      <c r="A395">
        <v>897423</v>
      </c>
      <c r="B395" t="s">
        <v>1122</v>
      </c>
      <c r="C395" t="s">
        <v>1117</v>
      </c>
      <c r="D395" t="s">
        <v>1123</v>
      </c>
      <c r="E395" t="s">
        <v>1124</v>
      </c>
      <c r="G395">
        <v>335823</v>
      </c>
      <c r="H395" t="s">
        <v>1123</v>
      </c>
      <c r="I395" t="s">
        <v>417</v>
      </c>
      <c r="J395" s="6" t="s">
        <v>1125</v>
      </c>
      <c r="K395">
        <v>39121400</v>
      </c>
      <c r="L395" t="s">
        <v>1124</v>
      </c>
      <c r="M395">
        <v>252636</v>
      </c>
      <c r="N395" t="s">
        <v>1126</v>
      </c>
      <c r="O395" t="s">
        <v>417</v>
      </c>
      <c r="Q395" t="s">
        <v>86</v>
      </c>
      <c r="R395" s="9">
        <v>0.94723632467659702</v>
      </c>
      <c r="S395" s="9">
        <v>99.861816233829799</v>
      </c>
      <c r="T395" s="9">
        <v>97.861816233829799</v>
      </c>
      <c r="U395" s="8">
        <v>100</v>
      </c>
      <c r="V395" t="s">
        <v>417</v>
      </c>
      <c r="W395" s="8">
        <v>94.988079999999997</v>
      </c>
      <c r="X395">
        <v>39121400</v>
      </c>
      <c r="Y395" s="8">
        <v>94.988079999999997</v>
      </c>
      <c r="Z395">
        <v>39121400</v>
      </c>
      <c r="AA395" s="9">
        <v>94.011164999999906</v>
      </c>
      <c r="AB395" t="b">
        <f t="shared" si="6"/>
        <v>0</v>
      </c>
    </row>
    <row r="396" spans="1:28" x14ac:dyDescent="0.3">
      <c r="A396">
        <v>897424</v>
      </c>
      <c r="B396" t="s">
        <v>1127</v>
      </c>
      <c r="C396" t="s">
        <v>42</v>
      </c>
      <c r="D396" t="s">
        <v>1128</v>
      </c>
      <c r="O396" t="s">
        <v>45</v>
      </c>
      <c r="P396" t="s">
        <v>42</v>
      </c>
      <c r="Q396" t="s">
        <v>40</v>
      </c>
      <c r="T396" s="8">
        <v>60</v>
      </c>
      <c r="X396">
        <v>39121464</v>
      </c>
      <c r="Y396" s="8">
        <v>53.256520000000002</v>
      </c>
      <c r="Z396">
        <v>39121464</v>
      </c>
      <c r="AA396" s="8">
        <v>53.256520000000002</v>
      </c>
      <c r="AB396" t="b">
        <f t="shared" si="6"/>
        <v>0</v>
      </c>
    </row>
    <row r="397" spans="1:28" x14ac:dyDescent="0.3">
      <c r="A397">
        <v>897425</v>
      </c>
      <c r="B397" t="s">
        <v>1129</v>
      </c>
      <c r="AB397" t="b">
        <f t="shared" si="6"/>
        <v>0</v>
      </c>
    </row>
    <row r="398" spans="1:28" x14ac:dyDescent="0.3">
      <c r="A398">
        <v>897427</v>
      </c>
      <c r="B398" t="s">
        <v>1130</v>
      </c>
      <c r="C398" t="s">
        <v>1131</v>
      </c>
      <c r="D398" t="s">
        <v>1132</v>
      </c>
      <c r="G398">
        <v>230354</v>
      </c>
      <c r="H398">
        <v>49251259</v>
      </c>
      <c r="I398" t="s">
        <v>164</v>
      </c>
      <c r="J398" s="6" t="s">
        <v>1133</v>
      </c>
      <c r="K398">
        <v>27112800</v>
      </c>
      <c r="M398">
        <v>184455</v>
      </c>
      <c r="N398" t="s">
        <v>1134</v>
      </c>
      <c r="O398" t="s">
        <v>164</v>
      </c>
      <c r="Q398" t="s">
        <v>86</v>
      </c>
      <c r="R398" s="9">
        <v>0.60779602890255302</v>
      </c>
      <c r="S398" s="9">
        <v>77.889801445127603</v>
      </c>
      <c r="T398" s="9">
        <v>77.889801445127603</v>
      </c>
      <c r="U398" s="9">
        <v>46.559205780510602</v>
      </c>
      <c r="X398">
        <v>27112800</v>
      </c>
      <c r="Y398" s="9">
        <v>57.276224999999997</v>
      </c>
      <c r="Z398">
        <v>27112800</v>
      </c>
      <c r="AA398" s="9">
        <v>57.276224999999997</v>
      </c>
      <c r="AB398" t="b">
        <f t="shared" si="6"/>
        <v>0</v>
      </c>
    </row>
    <row r="399" spans="1:28" x14ac:dyDescent="0.3">
      <c r="A399">
        <v>897428</v>
      </c>
      <c r="B399" t="s">
        <v>1135</v>
      </c>
      <c r="C399" t="s">
        <v>1131</v>
      </c>
      <c r="D399" t="s">
        <v>1136</v>
      </c>
      <c r="G399">
        <v>230318</v>
      </c>
      <c r="H399">
        <v>49251269</v>
      </c>
      <c r="I399" t="s">
        <v>164</v>
      </c>
      <c r="J399" s="6" t="s">
        <v>1137</v>
      </c>
      <c r="K399">
        <v>27112800</v>
      </c>
      <c r="M399">
        <v>183722</v>
      </c>
      <c r="N399" t="s">
        <v>1138</v>
      </c>
      <c r="O399" t="s">
        <v>164</v>
      </c>
      <c r="Q399" t="s">
        <v>86</v>
      </c>
      <c r="R399" s="9">
        <v>0.60504340079031904</v>
      </c>
      <c r="S399" s="9">
        <v>77.752170039515903</v>
      </c>
      <c r="T399" s="9">
        <v>77.752170039515903</v>
      </c>
      <c r="U399" s="9">
        <v>46.008680158063903</v>
      </c>
      <c r="X399">
        <v>27112800</v>
      </c>
      <c r="Y399" s="8">
        <v>61.275120000000001</v>
      </c>
      <c r="Z399">
        <v>27112800</v>
      </c>
      <c r="AA399" s="8">
        <v>61.275120000000001</v>
      </c>
      <c r="AB399" t="b">
        <f t="shared" si="6"/>
        <v>0</v>
      </c>
    </row>
    <row r="400" spans="1:28" x14ac:dyDescent="0.3">
      <c r="A400">
        <v>897429</v>
      </c>
      <c r="B400" t="s">
        <v>1139</v>
      </c>
      <c r="C400" t="s">
        <v>1082</v>
      </c>
      <c r="D400" t="s">
        <v>1140</v>
      </c>
      <c r="E400" t="s">
        <v>1141</v>
      </c>
      <c r="G400">
        <v>339090</v>
      </c>
      <c r="H400" t="s">
        <v>1140</v>
      </c>
      <c r="I400" t="s">
        <v>343</v>
      </c>
      <c r="J400" s="5">
        <v>783510424602</v>
      </c>
      <c r="K400">
        <v>39121303</v>
      </c>
      <c r="L400" t="s">
        <v>1141</v>
      </c>
      <c r="M400">
        <v>259578</v>
      </c>
      <c r="N400" t="s">
        <v>1142</v>
      </c>
      <c r="O400" t="s">
        <v>343</v>
      </c>
      <c r="Q400" t="s">
        <v>86</v>
      </c>
      <c r="R400" s="9">
        <v>0.99080887921281402</v>
      </c>
      <c r="S400" s="8">
        <v>100</v>
      </c>
      <c r="T400" s="8">
        <v>100</v>
      </c>
      <c r="U400" s="8">
        <v>100</v>
      </c>
      <c r="V400" t="s">
        <v>343</v>
      </c>
      <c r="W400" s="8">
        <v>99.089276999999996</v>
      </c>
      <c r="X400">
        <v>39121303</v>
      </c>
      <c r="Y400" s="8">
        <v>99.089276999999996</v>
      </c>
      <c r="Z400">
        <v>39121303</v>
      </c>
      <c r="AA400" s="8">
        <v>99.089276999999996</v>
      </c>
      <c r="AB400" t="b">
        <f t="shared" si="6"/>
        <v>0</v>
      </c>
    </row>
    <row r="401" spans="1:28" x14ac:dyDescent="0.3">
      <c r="A401">
        <v>897430</v>
      </c>
      <c r="B401" t="s">
        <v>1143</v>
      </c>
      <c r="C401" t="s">
        <v>1082</v>
      </c>
      <c r="D401" t="s">
        <v>1144</v>
      </c>
      <c r="E401" t="s">
        <v>1145</v>
      </c>
      <c r="G401">
        <v>337096</v>
      </c>
      <c r="H401" t="s">
        <v>1144</v>
      </c>
      <c r="I401" t="s">
        <v>343</v>
      </c>
      <c r="J401" s="5">
        <v>783510425104</v>
      </c>
      <c r="K401">
        <v>39121303</v>
      </c>
      <c r="L401" t="s">
        <v>1145</v>
      </c>
      <c r="M401">
        <v>259556</v>
      </c>
      <c r="N401" t="s">
        <v>1146</v>
      </c>
      <c r="O401" t="s">
        <v>343</v>
      </c>
      <c r="Q401" t="s">
        <v>86</v>
      </c>
      <c r="R401" s="9">
        <v>0.97751213411313898</v>
      </c>
      <c r="S401" s="8">
        <v>100</v>
      </c>
      <c r="T401" s="8">
        <v>100</v>
      </c>
      <c r="U401" s="8">
        <v>100</v>
      </c>
      <c r="V401" t="s">
        <v>343</v>
      </c>
      <c r="W401" s="9">
        <v>97.800695999999903</v>
      </c>
      <c r="X401">
        <v>39121303</v>
      </c>
      <c r="Y401" s="8">
        <v>97.800696000000002</v>
      </c>
      <c r="Z401">
        <v>39121303</v>
      </c>
      <c r="AA401" s="8">
        <v>97.798574000000002</v>
      </c>
      <c r="AB401" t="b">
        <f t="shared" si="6"/>
        <v>0</v>
      </c>
    </row>
    <row r="402" spans="1:28" x14ac:dyDescent="0.3">
      <c r="A402">
        <v>897431</v>
      </c>
      <c r="B402" t="s">
        <v>1147</v>
      </c>
      <c r="C402" t="s">
        <v>1082</v>
      </c>
      <c r="D402" t="s">
        <v>1148</v>
      </c>
      <c r="E402" t="s">
        <v>1149</v>
      </c>
      <c r="G402">
        <v>96723</v>
      </c>
      <c r="H402" t="s">
        <v>1148</v>
      </c>
      <c r="I402" t="s">
        <v>343</v>
      </c>
      <c r="J402" s="5">
        <v>783510113087</v>
      </c>
      <c r="K402">
        <v>39131714</v>
      </c>
      <c r="M402">
        <v>157049</v>
      </c>
      <c r="N402" t="s">
        <v>1150</v>
      </c>
      <c r="O402" t="s">
        <v>343</v>
      </c>
      <c r="Q402" t="s">
        <v>86</v>
      </c>
      <c r="R402" s="9">
        <v>0.74444777304017495</v>
      </c>
      <c r="S402" s="9">
        <v>99.722388652008704</v>
      </c>
      <c r="T402" s="9">
        <v>93.722388652008704</v>
      </c>
      <c r="U402" s="9">
        <v>82.889554608034999</v>
      </c>
      <c r="V402" t="s">
        <v>343</v>
      </c>
      <c r="W402" s="8">
        <v>96.98845</v>
      </c>
      <c r="X402">
        <v>39131714</v>
      </c>
      <c r="Y402" s="8">
        <v>96.98845</v>
      </c>
      <c r="Z402">
        <v>39131714</v>
      </c>
      <c r="AA402" s="8">
        <v>96.98845</v>
      </c>
      <c r="AB402" t="b">
        <f t="shared" si="6"/>
        <v>0</v>
      </c>
    </row>
    <row r="403" spans="1:28" x14ac:dyDescent="0.3">
      <c r="A403">
        <v>897432</v>
      </c>
      <c r="B403" t="s">
        <v>1151</v>
      </c>
      <c r="C403" t="s">
        <v>1152</v>
      </c>
      <c r="D403" t="s">
        <v>654</v>
      </c>
      <c r="O403" t="s">
        <v>656</v>
      </c>
      <c r="P403" t="s">
        <v>1152</v>
      </c>
      <c r="Q403" t="s">
        <v>40</v>
      </c>
      <c r="T403" s="8">
        <v>60</v>
      </c>
      <c r="X403">
        <v>39121601</v>
      </c>
      <c r="Y403" s="8">
        <v>80.943650000000005</v>
      </c>
      <c r="Z403">
        <v>39121601</v>
      </c>
      <c r="AA403" s="8">
        <v>80.94659</v>
      </c>
      <c r="AB403" t="b">
        <f t="shared" si="6"/>
        <v>0</v>
      </c>
    </row>
    <row r="404" spans="1:28" x14ac:dyDescent="0.3">
      <c r="A404">
        <v>897433</v>
      </c>
      <c r="B404" t="s">
        <v>1153</v>
      </c>
      <c r="C404" t="s">
        <v>1152</v>
      </c>
      <c r="D404" t="s">
        <v>1154</v>
      </c>
      <c r="E404" t="s">
        <v>1155</v>
      </c>
      <c r="O404" t="s">
        <v>656</v>
      </c>
      <c r="P404" t="s">
        <v>1152</v>
      </c>
      <c r="Q404" t="s">
        <v>40</v>
      </c>
      <c r="T404" s="8">
        <v>60</v>
      </c>
      <c r="X404">
        <v>39121614</v>
      </c>
      <c r="Y404" s="8">
        <v>83.075552999999999</v>
      </c>
      <c r="Z404">
        <v>39121614</v>
      </c>
      <c r="AA404" s="9">
        <v>83.077716999999893</v>
      </c>
      <c r="AB404" t="b">
        <f t="shared" si="6"/>
        <v>0</v>
      </c>
    </row>
    <row r="405" spans="1:28" x14ac:dyDescent="0.3">
      <c r="A405">
        <v>897434</v>
      </c>
      <c r="B405" t="s">
        <v>1156</v>
      </c>
      <c r="C405" t="s">
        <v>1062</v>
      </c>
      <c r="D405" t="s">
        <v>1157</v>
      </c>
      <c r="E405" t="s">
        <v>1158</v>
      </c>
      <c r="G405">
        <v>341007</v>
      </c>
      <c r="H405" t="s">
        <v>1159</v>
      </c>
      <c r="I405" t="s">
        <v>227</v>
      </c>
      <c r="J405" s="5">
        <v>785007143058</v>
      </c>
      <c r="K405">
        <v>39121406</v>
      </c>
      <c r="L405" t="s">
        <v>1160</v>
      </c>
      <c r="M405">
        <v>265259</v>
      </c>
      <c r="N405" t="s">
        <v>1161</v>
      </c>
      <c r="O405" t="s">
        <v>227</v>
      </c>
      <c r="Q405" t="s">
        <v>75</v>
      </c>
      <c r="R405" s="9">
        <v>0.74736762219734998</v>
      </c>
      <c r="S405" s="9">
        <v>69.868381109867499</v>
      </c>
      <c r="T405" s="9">
        <v>41.868381109867499</v>
      </c>
      <c r="U405" s="8">
        <v>61.473524439470097</v>
      </c>
      <c r="X405">
        <v>39121406</v>
      </c>
      <c r="Y405" s="8">
        <v>80.757019999999997</v>
      </c>
      <c r="Z405">
        <v>39121406</v>
      </c>
      <c r="AA405" s="8">
        <v>80.757019999999997</v>
      </c>
      <c r="AB405" t="b">
        <f t="shared" si="6"/>
        <v>0</v>
      </c>
    </row>
    <row r="406" spans="1:28" x14ac:dyDescent="0.3">
      <c r="A406">
        <v>897435</v>
      </c>
      <c r="B406" t="s">
        <v>1162</v>
      </c>
      <c r="C406" t="s">
        <v>1163</v>
      </c>
      <c r="D406" t="s">
        <v>1164</v>
      </c>
      <c r="E406" t="s">
        <v>1165</v>
      </c>
      <c r="X406">
        <v>39121324</v>
      </c>
      <c r="Y406" s="8">
        <v>75.285696999999999</v>
      </c>
      <c r="Z406">
        <v>39121324</v>
      </c>
      <c r="AA406" s="8">
        <v>75.285696999999999</v>
      </c>
      <c r="AB406" t="b">
        <f t="shared" si="6"/>
        <v>0</v>
      </c>
    </row>
    <row r="407" spans="1:28" x14ac:dyDescent="0.3">
      <c r="A407">
        <v>897436</v>
      </c>
      <c r="B407" t="s">
        <v>1166</v>
      </c>
      <c r="C407" t="s">
        <v>1167</v>
      </c>
      <c r="D407" t="s">
        <v>203</v>
      </c>
      <c r="E407" t="s">
        <v>204</v>
      </c>
      <c r="G407">
        <v>336422</v>
      </c>
      <c r="H407">
        <v>645001</v>
      </c>
      <c r="I407" t="s">
        <v>73</v>
      </c>
      <c r="J407" s="5">
        <v>783310057611</v>
      </c>
      <c r="K407">
        <v>27112800</v>
      </c>
      <c r="L407" t="s">
        <v>204</v>
      </c>
      <c r="M407">
        <v>258964</v>
      </c>
      <c r="N407" t="s">
        <v>1168</v>
      </c>
      <c r="O407" t="s">
        <v>73</v>
      </c>
      <c r="Q407" t="s">
        <v>75</v>
      </c>
      <c r="R407" s="9">
        <v>0.90804772939492095</v>
      </c>
      <c r="S407" s="9">
        <v>72.902386469746006</v>
      </c>
      <c r="T407" s="9">
        <v>46.902386469745998</v>
      </c>
      <c r="U407" s="9">
        <v>90.609545878984207</v>
      </c>
      <c r="V407" t="s">
        <v>73</v>
      </c>
      <c r="W407" s="8">
        <v>91.579089999999994</v>
      </c>
      <c r="X407">
        <v>27112800</v>
      </c>
      <c r="Y407" s="8">
        <v>91.579089999999994</v>
      </c>
      <c r="Z407">
        <v>27112800</v>
      </c>
      <c r="AA407" s="9">
        <v>91.115417499999893</v>
      </c>
      <c r="AB407" t="b">
        <f t="shared" si="6"/>
        <v>0</v>
      </c>
    </row>
    <row r="408" spans="1:28" x14ac:dyDescent="0.3">
      <c r="A408">
        <v>897437</v>
      </c>
      <c r="B408" t="s">
        <v>1169</v>
      </c>
      <c r="C408" t="s">
        <v>1167</v>
      </c>
      <c r="D408" t="s">
        <v>1170</v>
      </c>
      <c r="E408" t="s">
        <v>1171</v>
      </c>
      <c r="G408">
        <v>338858</v>
      </c>
      <c r="H408">
        <v>64578</v>
      </c>
      <c r="I408" t="s">
        <v>73</v>
      </c>
      <c r="J408" s="5">
        <v>783310056959</v>
      </c>
      <c r="K408">
        <v>23241638</v>
      </c>
      <c r="L408" t="s">
        <v>1171</v>
      </c>
      <c r="M408">
        <v>258967</v>
      </c>
      <c r="N408" t="s">
        <v>1172</v>
      </c>
      <c r="O408" t="s">
        <v>73</v>
      </c>
      <c r="Q408" t="s">
        <v>86</v>
      </c>
      <c r="R408" s="8">
        <v>0.92085590544708396</v>
      </c>
      <c r="S408" s="9">
        <v>34.933084276692398</v>
      </c>
      <c r="T408" s="9">
        <v>32.529106402784898</v>
      </c>
      <c r="U408" s="9">
        <v>91.905989495580499</v>
      </c>
      <c r="V408" t="s">
        <v>73</v>
      </c>
      <c r="W408" s="9">
        <v>92.666039999999995</v>
      </c>
      <c r="X408">
        <v>23241638</v>
      </c>
      <c r="Y408" s="9">
        <v>92.666039999999995</v>
      </c>
      <c r="Z408">
        <v>23241638</v>
      </c>
      <c r="AA408" s="8">
        <v>92.619995000000003</v>
      </c>
      <c r="AB408" t="b">
        <f t="shared" si="6"/>
        <v>0</v>
      </c>
    </row>
    <row r="409" spans="1:28" x14ac:dyDescent="0.3">
      <c r="A409">
        <v>897438</v>
      </c>
      <c r="B409" t="s">
        <v>1173</v>
      </c>
      <c r="C409" t="s">
        <v>1174</v>
      </c>
      <c r="D409" t="s">
        <v>1175</v>
      </c>
      <c r="X409">
        <v>31162400</v>
      </c>
      <c r="Y409" s="8">
        <v>80.314779999999999</v>
      </c>
      <c r="Z409">
        <v>31162400</v>
      </c>
      <c r="AA409" s="8">
        <v>80.314779999999999</v>
      </c>
      <c r="AB409" t="b">
        <f t="shared" si="6"/>
        <v>0</v>
      </c>
    </row>
    <row r="410" spans="1:28" x14ac:dyDescent="0.3">
      <c r="A410">
        <v>897439</v>
      </c>
      <c r="B410" t="s">
        <v>1176</v>
      </c>
      <c r="C410" t="s">
        <v>1104</v>
      </c>
      <c r="D410" t="s">
        <v>1177</v>
      </c>
      <c r="E410" t="s">
        <v>1178</v>
      </c>
      <c r="G410">
        <v>338498</v>
      </c>
      <c r="H410" t="s">
        <v>1177</v>
      </c>
      <c r="I410" t="s">
        <v>321</v>
      </c>
      <c r="J410" s="5">
        <v>781002175629</v>
      </c>
      <c r="K410">
        <v>31161528</v>
      </c>
      <c r="L410" t="s">
        <v>1178</v>
      </c>
      <c r="M410">
        <v>258073</v>
      </c>
      <c r="N410" t="s">
        <v>1176</v>
      </c>
      <c r="O410" t="s">
        <v>321</v>
      </c>
      <c r="Q410" t="s">
        <v>86</v>
      </c>
      <c r="R410" s="9">
        <v>0.99998762931130902</v>
      </c>
      <c r="S410" s="8">
        <v>100</v>
      </c>
      <c r="T410" s="8">
        <v>100</v>
      </c>
      <c r="U410" s="8">
        <v>100</v>
      </c>
      <c r="V410" t="s">
        <v>321</v>
      </c>
      <c r="W410" s="8">
        <v>99.998760000000004</v>
      </c>
      <c r="X410">
        <v>31161528</v>
      </c>
      <c r="Y410" s="8">
        <v>99.998760000000004</v>
      </c>
      <c r="Z410">
        <v>31161528</v>
      </c>
      <c r="AA410" s="8">
        <v>99.998760000000004</v>
      </c>
      <c r="AB410" t="b">
        <f t="shared" si="6"/>
        <v>0</v>
      </c>
    </row>
    <row r="411" spans="1:28" x14ac:dyDescent="0.3">
      <c r="A411">
        <v>897440</v>
      </c>
      <c r="B411" t="s">
        <v>1179</v>
      </c>
      <c r="C411" t="s">
        <v>1180</v>
      </c>
      <c r="D411" t="s">
        <v>1181</v>
      </c>
      <c r="E411" t="s">
        <v>1182</v>
      </c>
      <c r="X411">
        <v>39122211</v>
      </c>
      <c r="Y411" s="8">
        <v>64.378296000000006</v>
      </c>
      <c r="Z411">
        <v>39122211</v>
      </c>
      <c r="AA411" s="8">
        <v>64.378296000000006</v>
      </c>
      <c r="AB411" t="b">
        <f t="shared" si="6"/>
        <v>0</v>
      </c>
    </row>
    <row r="412" spans="1:28" x14ac:dyDescent="0.3">
      <c r="A412">
        <v>897441</v>
      </c>
      <c r="B412" t="s">
        <v>1183</v>
      </c>
      <c r="C412" t="s">
        <v>1184</v>
      </c>
      <c r="D412" t="s">
        <v>1185</v>
      </c>
      <c r="E412" t="s">
        <v>1186</v>
      </c>
      <c r="X412">
        <v>39121604</v>
      </c>
      <c r="Y412" s="8">
        <v>84.298812999999996</v>
      </c>
      <c r="Z412">
        <v>39121604</v>
      </c>
      <c r="AA412" s="9">
        <v>84.279554999999903</v>
      </c>
      <c r="AB412" t="b">
        <f t="shared" si="6"/>
        <v>0</v>
      </c>
    </row>
    <row r="413" spans="1:28" x14ac:dyDescent="0.3">
      <c r="A413">
        <v>897442</v>
      </c>
      <c r="B413" t="s">
        <v>1187</v>
      </c>
      <c r="C413" t="s">
        <v>1188</v>
      </c>
      <c r="D413" t="s">
        <v>1189</v>
      </c>
      <c r="E413" t="s">
        <v>1190</v>
      </c>
      <c r="AB413" t="b">
        <f t="shared" si="6"/>
        <v>0</v>
      </c>
    </row>
    <row r="414" spans="1:28" x14ac:dyDescent="0.3">
      <c r="A414">
        <v>897446</v>
      </c>
      <c r="B414" t="s">
        <v>1191</v>
      </c>
      <c r="C414" t="s">
        <v>1192</v>
      </c>
      <c r="D414" t="s">
        <v>1193</v>
      </c>
      <c r="E414" t="s">
        <v>1194</v>
      </c>
      <c r="G414">
        <v>340628</v>
      </c>
      <c r="H414" t="s">
        <v>1195</v>
      </c>
      <c r="I414" t="s">
        <v>144</v>
      </c>
      <c r="J414" s="6" t="s">
        <v>1196</v>
      </c>
      <c r="K414">
        <v>39121400</v>
      </c>
      <c r="L414" t="s">
        <v>1194</v>
      </c>
      <c r="M414">
        <v>264294</v>
      </c>
      <c r="N414" t="s">
        <v>1197</v>
      </c>
      <c r="O414" t="s">
        <v>144</v>
      </c>
      <c r="P414" t="s">
        <v>1192</v>
      </c>
      <c r="Q414" t="s">
        <v>40</v>
      </c>
      <c r="R414" s="8">
        <v>0.97113548925795201</v>
      </c>
      <c r="S414" s="8">
        <v>100</v>
      </c>
      <c r="T414" s="8">
        <v>100</v>
      </c>
      <c r="U414" s="8">
        <v>100</v>
      </c>
      <c r="V414" t="s">
        <v>144</v>
      </c>
      <c r="W414" s="8">
        <v>97.19453</v>
      </c>
      <c r="X414">
        <v>39121400</v>
      </c>
      <c r="Y414" s="8">
        <v>97.19453</v>
      </c>
      <c r="Z414">
        <v>39121400</v>
      </c>
      <c r="AA414" s="8">
        <v>97.19453</v>
      </c>
      <c r="AB414" t="b">
        <f t="shared" si="6"/>
        <v>0</v>
      </c>
    </row>
    <row r="415" spans="1:28" x14ac:dyDescent="0.3">
      <c r="A415">
        <v>897447</v>
      </c>
      <c r="B415" t="s">
        <v>1198</v>
      </c>
      <c r="C415" t="s">
        <v>1199</v>
      </c>
      <c r="D415" t="s">
        <v>1200</v>
      </c>
      <c r="E415" t="s">
        <v>1201</v>
      </c>
      <c r="G415">
        <v>276946</v>
      </c>
      <c r="H415">
        <v>3019</v>
      </c>
      <c r="I415" t="s">
        <v>1031</v>
      </c>
      <c r="J415" s="5">
        <v>808475030948</v>
      </c>
      <c r="K415">
        <v>39121613</v>
      </c>
      <c r="M415">
        <v>84731</v>
      </c>
      <c r="N415" t="s">
        <v>1202</v>
      </c>
      <c r="O415" t="s">
        <v>1031</v>
      </c>
      <c r="Q415" t="s">
        <v>86</v>
      </c>
      <c r="R415" s="9">
        <v>0.56114352140164903</v>
      </c>
      <c r="S415" s="9">
        <v>50.557176070082399</v>
      </c>
      <c r="T415" s="9">
        <v>60.557176070082399</v>
      </c>
      <c r="U415" s="9">
        <v>22.228704280329801</v>
      </c>
      <c r="AB415" t="b">
        <f t="shared" si="6"/>
        <v>0</v>
      </c>
    </row>
    <row r="416" spans="1:28" x14ac:dyDescent="0.3">
      <c r="A416">
        <v>897448</v>
      </c>
      <c r="B416" t="s">
        <v>1108</v>
      </c>
      <c r="C416" t="s">
        <v>1109</v>
      </c>
      <c r="D416" t="s">
        <v>1110</v>
      </c>
      <c r="E416" t="s">
        <v>1111</v>
      </c>
      <c r="X416">
        <v>26121600</v>
      </c>
      <c r="Y416" s="8">
        <v>76.848643999999993</v>
      </c>
      <c r="Z416">
        <v>26121600</v>
      </c>
      <c r="AA416" s="8">
        <v>76.848643999999993</v>
      </c>
      <c r="AB416" t="b">
        <f t="shared" si="6"/>
        <v>0</v>
      </c>
    </row>
    <row r="417" spans="1:28" x14ac:dyDescent="0.3">
      <c r="A417">
        <v>897449</v>
      </c>
      <c r="B417" t="s">
        <v>1203</v>
      </c>
      <c r="C417" t="s">
        <v>1163</v>
      </c>
      <c r="D417" t="s">
        <v>1204</v>
      </c>
      <c r="E417" t="s">
        <v>1205</v>
      </c>
      <c r="X417">
        <v>39121700</v>
      </c>
      <c r="Y417" s="8">
        <v>51.524769999999997</v>
      </c>
      <c r="Z417">
        <v>39121700</v>
      </c>
      <c r="AA417" s="9">
        <v>51.539919999999903</v>
      </c>
      <c r="AB417" t="b">
        <f t="shared" si="6"/>
        <v>0</v>
      </c>
    </row>
    <row r="418" spans="1:28" x14ac:dyDescent="0.3">
      <c r="A418">
        <v>897450</v>
      </c>
      <c r="B418" t="s">
        <v>1206</v>
      </c>
      <c r="C418" t="s">
        <v>1117</v>
      </c>
      <c r="D418" t="s">
        <v>1207</v>
      </c>
      <c r="E418" t="s">
        <v>1208</v>
      </c>
      <c r="G418">
        <v>335828</v>
      </c>
      <c r="H418" t="s">
        <v>1207</v>
      </c>
      <c r="I418" t="s">
        <v>417</v>
      </c>
      <c r="J418" s="6" t="s">
        <v>1209</v>
      </c>
      <c r="K418">
        <v>39131700</v>
      </c>
      <c r="L418" t="s">
        <v>1208</v>
      </c>
      <c r="M418">
        <v>252647</v>
      </c>
      <c r="N418" t="s">
        <v>1210</v>
      </c>
      <c r="O418" t="s">
        <v>417</v>
      </c>
      <c r="Q418" t="s">
        <v>86</v>
      </c>
      <c r="R418" s="8">
        <v>0.95783554491036704</v>
      </c>
      <c r="S418" s="9">
        <v>18.8064692303189</v>
      </c>
      <c r="T418" s="9">
        <v>17.374743862758798</v>
      </c>
      <c r="U418" s="9">
        <v>31.222035470051999</v>
      </c>
      <c r="V418" t="s">
        <v>417</v>
      </c>
      <c r="W418" s="8">
        <v>95.954139999999995</v>
      </c>
      <c r="X418">
        <v>39131700</v>
      </c>
      <c r="Y418" s="8">
        <v>95.954139999999995</v>
      </c>
      <c r="Z418">
        <v>39131700</v>
      </c>
      <c r="AA418" s="8">
        <v>95.954139999999995</v>
      </c>
      <c r="AB418" t="b">
        <f t="shared" si="6"/>
        <v>0</v>
      </c>
    </row>
    <row r="419" spans="1:28" x14ac:dyDescent="0.3">
      <c r="A419">
        <v>897451</v>
      </c>
      <c r="B419" t="s">
        <v>1211</v>
      </c>
      <c r="C419" t="s">
        <v>1104</v>
      </c>
      <c r="D419" t="s">
        <v>1212</v>
      </c>
      <c r="E419" t="s">
        <v>1213</v>
      </c>
      <c r="G419">
        <v>338493</v>
      </c>
      <c r="H419" t="s">
        <v>1212</v>
      </c>
      <c r="I419" t="s">
        <v>321</v>
      </c>
      <c r="J419" s="5">
        <v>781002558477</v>
      </c>
      <c r="K419">
        <v>31161504</v>
      </c>
      <c r="L419" t="s">
        <v>1213</v>
      </c>
      <c r="M419">
        <v>258054</v>
      </c>
      <c r="N419" t="s">
        <v>1211</v>
      </c>
      <c r="O419" t="s">
        <v>321</v>
      </c>
      <c r="Q419" t="s">
        <v>86</v>
      </c>
      <c r="R419" s="9">
        <v>0.99999897195127696</v>
      </c>
      <c r="S419" s="9">
        <v>97.499948597563801</v>
      </c>
      <c r="T419" s="9">
        <v>97.499948597563801</v>
      </c>
      <c r="U419" s="8">
        <v>100</v>
      </c>
      <c r="V419" t="s">
        <v>321</v>
      </c>
      <c r="W419" s="9">
        <v>99.999879999999905</v>
      </c>
      <c r="X419">
        <v>31161504</v>
      </c>
      <c r="Y419" s="9">
        <v>99.999879999999905</v>
      </c>
      <c r="Z419">
        <v>31161504</v>
      </c>
      <c r="AA419" s="9">
        <v>99.999879999999905</v>
      </c>
      <c r="AB419" t="b">
        <f t="shared" si="6"/>
        <v>0</v>
      </c>
    </row>
    <row r="420" spans="1:28" x14ac:dyDescent="0.3">
      <c r="A420">
        <v>897452</v>
      </c>
      <c r="B420" t="s">
        <v>1214</v>
      </c>
      <c r="C420" t="s">
        <v>1117</v>
      </c>
      <c r="D420" t="s">
        <v>1215</v>
      </c>
      <c r="E420" t="s">
        <v>1216</v>
      </c>
      <c r="V420" t="s">
        <v>417</v>
      </c>
      <c r="W420" s="9">
        <v>86.971896999999899</v>
      </c>
      <c r="X420">
        <v>31162500</v>
      </c>
      <c r="Y420" s="8">
        <v>69.577517599999993</v>
      </c>
      <c r="Z420">
        <v>31162500</v>
      </c>
      <c r="AA420" s="8">
        <v>69.577517599999993</v>
      </c>
      <c r="AB420" t="b">
        <f t="shared" si="6"/>
        <v>0</v>
      </c>
    </row>
    <row r="421" spans="1:28" x14ac:dyDescent="0.3">
      <c r="A421">
        <v>897453</v>
      </c>
      <c r="B421" t="s">
        <v>1217</v>
      </c>
      <c r="C421" t="s">
        <v>1192</v>
      </c>
      <c r="D421" t="s">
        <v>1218</v>
      </c>
      <c r="E421" t="s">
        <v>1219</v>
      </c>
      <c r="O421" t="s">
        <v>144</v>
      </c>
      <c r="P421" t="s">
        <v>1192</v>
      </c>
      <c r="Q421" t="s">
        <v>40</v>
      </c>
      <c r="T421" s="8">
        <v>60</v>
      </c>
      <c r="X421">
        <v>31201502</v>
      </c>
      <c r="Y421" s="8">
        <v>77.090109999999996</v>
      </c>
      <c r="Z421">
        <v>31201502</v>
      </c>
      <c r="AA421" s="8">
        <v>77.090109999999996</v>
      </c>
      <c r="AB421" t="b">
        <f t="shared" si="6"/>
        <v>0</v>
      </c>
    </row>
    <row r="422" spans="1:28" ht="72" x14ac:dyDescent="0.3">
      <c r="A422">
        <v>897454</v>
      </c>
      <c r="B422" s="2" t="s">
        <v>1220</v>
      </c>
      <c r="D422" t="s">
        <v>1221</v>
      </c>
      <c r="X422">
        <v>39121332</v>
      </c>
      <c r="Y422" s="8">
        <v>77.845025000000007</v>
      </c>
      <c r="Z422">
        <v>39121332</v>
      </c>
      <c r="AA422" s="8">
        <v>77.845025000000007</v>
      </c>
      <c r="AB422" t="b">
        <f t="shared" si="6"/>
        <v>0</v>
      </c>
    </row>
    <row r="423" spans="1:28" x14ac:dyDescent="0.3">
      <c r="A423">
        <v>897455</v>
      </c>
      <c r="B423" t="s">
        <v>1222</v>
      </c>
      <c r="C423" t="s">
        <v>1223</v>
      </c>
      <c r="D423" t="s">
        <v>1224</v>
      </c>
      <c r="E423" t="s">
        <v>1225</v>
      </c>
      <c r="G423">
        <v>337454</v>
      </c>
      <c r="H423" t="s">
        <v>1224</v>
      </c>
      <c r="I423" t="s">
        <v>414</v>
      </c>
      <c r="J423" s="5">
        <v>781810220573</v>
      </c>
      <c r="K423">
        <v>39131705</v>
      </c>
      <c r="L423" t="s">
        <v>1225</v>
      </c>
      <c r="M423">
        <v>254614</v>
      </c>
      <c r="N423" t="s">
        <v>1226</v>
      </c>
      <c r="O423" t="s">
        <v>414</v>
      </c>
      <c r="P423" t="s">
        <v>1223</v>
      </c>
      <c r="Q423" t="s">
        <v>40</v>
      </c>
      <c r="R423" s="9">
        <v>0.90309801092136999</v>
      </c>
      <c r="S423" s="8">
        <v>100</v>
      </c>
      <c r="T423" s="8">
        <v>100</v>
      </c>
      <c r="U423" s="8">
        <v>100</v>
      </c>
      <c r="X423">
        <v>39121613</v>
      </c>
      <c r="Y423" s="9">
        <v>48.4658862</v>
      </c>
      <c r="Z423">
        <v>39121613</v>
      </c>
      <c r="AA423" s="9">
        <v>48.4658862</v>
      </c>
      <c r="AB423" t="b">
        <f t="shared" si="6"/>
        <v>0</v>
      </c>
    </row>
    <row r="424" spans="1:28" x14ac:dyDescent="0.3">
      <c r="A424">
        <v>897456</v>
      </c>
      <c r="B424" t="s">
        <v>1222</v>
      </c>
      <c r="C424" t="s">
        <v>1223</v>
      </c>
      <c r="D424" t="s">
        <v>1224</v>
      </c>
      <c r="E424" t="s">
        <v>1225</v>
      </c>
      <c r="G424">
        <v>337454</v>
      </c>
      <c r="H424" t="s">
        <v>1224</v>
      </c>
      <c r="I424" t="s">
        <v>414</v>
      </c>
      <c r="J424" s="5">
        <v>781810220573</v>
      </c>
      <c r="K424">
        <v>39131705</v>
      </c>
      <c r="L424" t="s">
        <v>1225</v>
      </c>
      <c r="M424">
        <v>254614</v>
      </c>
      <c r="N424" t="s">
        <v>1226</v>
      </c>
      <c r="O424" t="s">
        <v>414</v>
      </c>
      <c r="P424" t="s">
        <v>1223</v>
      </c>
      <c r="Q424" t="s">
        <v>40</v>
      </c>
      <c r="R424" s="9">
        <v>0.90309801092136999</v>
      </c>
      <c r="S424" s="8">
        <v>100</v>
      </c>
      <c r="T424" s="8">
        <v>100</v>
      </c>
      <c r="U424" s="8">
        <v>100</v>
      </c>
      <c r="X424">
        <v>39121613</v>
      </c>
      <c r="Y424" s="9">
        <v>48.4658862</v>
      </c>
      <c r="Z424">
        <v>39121613</v>
      </c>
      <c r="AA424" s="9">
        <v>48.4658862</v>
      </c>
      <c r="AB424" t="b">
        <f t="shared" si="6"/>
        <v>0</v>
      </c>
    </row>
    <row r="425" spans="1:28" x14ac:dyDescent="0.3">
      <c r="A425">
        <v>897457</v>
      </c>
      <c r="B425" t="s">
        <v>1227</v>
      </c>
      <c r="C425" t="s">
        <v>1113</v>
      </c>
      <c r="D425" t="s">
        <v>1228</v>
      </c>
      <c r="E425" t="s">
        <v>1229</v>
      </c>
      <c r="O425" t="s">
        <v>1230</v>
      </c>
      <c r="P425" t="s">
        <v>1231</v>
      </c>
      <c r="Q425" t="s">
        <v>40</v>
      </c>
      <c r="T425" s="8">
        <v>60</v>
      </c>
      <c r="X425">
        <v>39131718</v>
      </c>
      <c r="Y425" s="8">
        <v>76.049250000000001</v>
      </c>
      <c r="Z425">
        <v>39131718</v>
      </c>
      <c r="AA425" s="8">
        <v>76.049250000000001</v>
      </c>
      <c r="AB425" t="b">
        <f t="shared" si="6"/>
        <v>0</v>
      </c>
    </row>
    <row r="426" spans="1:28" x14ac:dyDescent="0.3">
      <c r="A426">
        <v>897459</v>
      </c>
      <c r="B426" t="s">
        <v>1232</v>
      </c>
      <c r="C426" t="s">
        <v>1163</v>
      </c>
      <c r="D426" t="s">
        <v>1233</v>
      </c>
      <c r="E426" t="s">
        <v>1234</v>
      </c>
      <c r="G426">
        <v>330413</v>
      </c>
      <c r="H426" t="s">
        <v>1233</v>
      </c>
      <c r="I426" t="s">
        <v>1079</v>
      </c>
      <c r="J426" s="5">
        <v>784491160589</v>
      </c>
      <c r="K426">
        <v>39121432</v>
      </c>
      <c r="M426">
        <v>25260</v>
      </c>
      <c r="N426" t="s">
        <v>1235</v>
      </c>
      <c r="O426" t="s">
        <v>1079</v>
      </c>
      <c r="Q426" t="s">
        <v>75</v>
      </c>
      <c r="R426" s="9">
        <v>0.45503885183954101</v>
      </c>
      <c r="S426" s="9">
        <v>45.251942591976999</v>
      </c>
      <c r="T426" s="9">
        <v>21.251942591976999</v>
      </c>
      <c r="U426" s="8">
        <v>0</v>
      </c>
      <c r="X426">
        <v>31161618</v>
      </c>
      <c r="Y426" s="8">
        <v>62.100712000000001</v>
      </c>
      <c r="Z426">
        <v>31161618</v>
      </c>
      <c r="AA426" s="8">
        <v>62.100712000000001</v>
      </c>
      <c r="AB426" t="b">
        <f t="shared" si="6"/>
        <v>0</v>
      </c>
    </row>
    <row r="427" spans="1:28" x14ac:dyDescent="0.3">
      <c r="A427">
        <v>897460</v>
      </c>
      <c r="B427" t="s">
        <v>1058</v>
      </c>
      <c r="C427" t="s">
        <v>1054</v>
      </c>
      <c r="D427" t="s">
        <v>1059</v>
      </c>
      <c r="E427" t="s">
        <v>1060</v>
      </c>
      <c r="V427" t="s">
        <v>104</v>
      </c>
      <c r="W427" s="8">
        <v>93.619405999999998</v>
      </c>
      <c r="X427">
        <v>31161812</v>
      </c>
      <c r="Y427" s="9">
        <v>83.217249777777695</v>
      </c>
      <c r="Z427">
        <v>31161812</v>
      </c>
      <c r="AA427" s="8">
        <v>92.749557999999993</v>
      </c>
      <c r="AB427" t="b">
        <f t="shared" si="6"/>
        <v>0</v>
      </c>
    </row>
    <row r="428" spans="1:28" x14ac:dyDescent="0.3">
      <c r="A428">
        <v>897461</v>
      </c>
      <c r="B428" t="s">
        <v>1236</v>
      </c>
      <c r="C428" t="s">
        <v>1104</v>
      </c>
      <c r="D428" t="s">
        <v>1237</v>
      </c>
      <c r="E428" t="s">
        <v>1238</v>
      </c>
      <c r="G428">
        <v>210726</v>
      </c>
      <c r="H428" t="s">
        <v>1239</v>
      </c>
      <c r="I428" t="s">
        <v>321</v>
      </c>
      <c r="J428" s="5">
        <v>781002155157</v>
      </c>
      <c r="K428">
        <v>31161823</v>
      </c>
      <c r="M428">
        <v>37779</v>
      </c>
      <c r="N428" t="s">
        <v>1240</v>
      </c>
      <c r="O428" t="s">
        <v>321</v>
      </c>
      <c r="Q428" t="s">
        <v>86</v>
      </c>
      <c r="R428" s="9">
        <v>0.91821317790820201</v>
      </c>
      <c r="S428" s="8">
        <v>100</v>
      </c>
      <c r="T428" s="8">
        <v>100</v>
      </c>
      <c r="U428" s="8">
        <v>100</v>
      </c>
      <c r="V428" t="s">
        <v>321</v>
      </c>
      <c r="W428" s="9">
        <v>99.059992999999906</v>
      </c>
      <c r="X428">
        <v>31161823</v>
      </c>
      <c r="Y428" s="9">
        <v>99.059992999999906</v>
      </c>
      <c r="Z428">
        <v>31161823</v>
      </c>
      <c r="AA428" s="8">
        <v>99.059993000000006</v>
      </c>
      <c r="AB428" t="b">
        <f t="shared" si="6"/>
        <v>0</v>
      </c>
    </row>
    <row r="429" spans="1:28" x14ac:dyDescent="0.3">
      <c r="A429">
        <v>897462</v>
      </c>
      <c r="B429" t="s">
        <v>1241</v>
      </c>
      <c r="C429" t="s">
        <v>42</v>
      </c>
      <c r="D429" t="s">
        <v>1242</v>
      </c>
      <c r="O429" t="s">
        <v>45</v>
      </c>
      <c r="P429" t="s">
        <v>42</v>
      </c>
      <c r="Q429" t="s">
        <v>40</v>
      </c>
      <c r="T429" s="8">
        <v>60</v>
      </c>
      <c r="X429">
        <v>39121700</v>
      </c>
      <c r="Y429" s="8">
        <v>60.236190000000001</v>
      </c>
      <c r="Z429">
        <v>39121700</v>
      </c>
      <c r="AA429" s="8">
        <v>60.236190000000001</v>
      </c>
      <c r="AB429" t="b">
        <f t="shared" si="6"/>
        <v>0</v>
      </c>
    </row>
    <row r="430" spans="1:28" x14ac:dyDescent="0.3">
      <c r="A430">
        <v>897463</v>
      </c>
      <c r="B430" t="s">
        <v>1243</v>
      </c>
      <c r="C430" t="s">
        <v>1102</v>
      </c>
      <c r="D430">
        <v>466</v>
      </c>
      <c r="E430" t="s">
        <v>1244</v>
      </c>
      <c r="O430" t="s">
        <v>45</v>
      </c>
      <c r="P430" t="s">
        <v>42</v>
      </c>
      <c r="Q430" t="s">
        <v>40</v>
      </c>
      <c r="T430" s="8">
        <v>60</v>
      </c>
      <c r="V430" t="s">
        <v>308</v>
      </c>
      <c r="W430" s="8">
        <v>88.955307000000005</v>
      </c>
      <c r="X430">
        <v>39131707</v>
      </c>
      <c r="Y430" s="9">
        <v>88.855564999999999</v>
      </c>
      <c r="Z430">
        <v>39131707</v>
      </c>
      <c r="AA430" s="9">
        <v>88.855564999999999</v>
      </c>
      <c r="AB430" t="b">
        <f t="shared" si="6"/>
        <v>0</v>
      </c>
    </row>
    <row r="431" spans="1:28" x14ac:dyDescent="0.3">
      <c r="A431">
        <v>897464</v>
      </c>
      <c r="B431" t="s">
        <v>1245</v>
      </c>
      <c r="C431" t="s">
        <v>1062</v>
      </c>
      <c r="D431" t="s">
        <v>1246</v>
      </c>
      <c r="E431" t="s">
        <v>1247</v>
      </c>
      <c r="G431">
        <v>336220</v>
      </c>
      <c r="H431" t="s">
        <v>1248</v>
      </c>
      <c r="I431" t="s">
        <v>578</v>
      </c>
      <c r="J431" s="6" t="s">
        <v>1249</v>
      </c>
      <c r="K431">
        <v>39121406</v>
      </c>
      <c r="L431" t="s">
        <v>1247</v>
      </c>
      <c r="M431">
        <v>262728</v>
      </c>
      <c r="N431" t="s">
        <v>1250</v>
      </c>
      <c r="O431" t="s">
        <v>578</v>
      </c>
      <c r="P431" t="s">
        <v>1062</v>
      </c>
      <c r="Q431" t="s">
        <v>40</v>
      </c>
      <c r="R431" s="9">
        <v>0.97209286152476604</v>
      </c>
      <c r="S431" s="8">
        <v>0</v>
      </c>
      <c r="T431" s="8">
        <v>100</v>
      </c>
      <c r="U431" s="8">
        <v>100</v>
      </c>
      <c r="V431" t="s">
        <v>578</v>
      </c>
      <c r="W431" s="8">
        <v>97.285049999999998</v>
      </c>
      <c r="X431">
        <v>39121406</v>
      </c>
      <c r="Y431" s="8">
        <v>97.285049999999998</v>
      </c>
      <c r="Z431">
        <v>39121406</v>
      </c>
      <c r="AA431" s="8">
        <v>97.285049999999998</v>
      </c>
      <c r="AB431" t="b">
        <f t="shared" si="6"/>
        <v>0</v>
      </c>
    </row>
    <row r="432" spans="1:28" x14ac:dyDescent="0.3">
      <c r="A432">
        <v>897465</v>
      </c>
      <c r="B432" t="s">
        <v>1251</v>
      </c>
      <c r="C432" t="s">
        <v>1104</v>
      </c>
      <c r="D432" t="s">
        <v>1252</v>
      </c>
      <c r="E432" t="s">
        <v>1253</v>
      </c>
      <c r="V432" t="s">
        <v>321</v>
      </c>
      <c r="W432" s="8">
        <v>94.155675000000002</v>
      </c>
      <c r="X432">
        <v>31161727</v>
      </c>
      <c r="Y432" s="8">
        <v>94.155675000000002</v>
      </c>
      <c r="Z432">
        <v>31161727</v>
      </c>
      <c r="AA432" s="8">
        <v>94.069466000000006</v>
      </c>
      <c r="AB432" t="b">
        <f t="shared" si="6"/>
        <v>0</v>
      </c>
    </row>
    <row r="433" spans="1:28" x14ac:dyDescent="0.3">
      <c r="A433">
        <v>897466</v>
      </c>
      <c r="B433" t="s">
        <v>1254</v>
      </c>
      <c r="C433" t="s">
        <v>1096</v>
      </c>
      <c r="D433" t="s">
        <v>1255</v>
      </c>
      <c r="E433" t="s">
        <v>1256</v>
      </c>
      <c r="G433">
        <v>336559</v>
      </c>
      <c r="H433" t="s">
        <v>1255</v>
      </c>
      <c r="I433" t="s">
        <v>227</v>
      </c>
      <c r="J433" s="5">
        <v>785007129618</v>
      </c>
      <c r="K433">
        <v>39121704</v>
      </c>
      <c r="L433" t="s">
        <v>1256</v>
      </c>
      <c r="M433">
        <v>265764</v>
      </c>
      <c r="N433" t="s">
        <v>1254</v>
      </c>
      <c r="O433" t="s">
        <v>227</v>
      </c>
      <c r="Q433" t="s">
        <v>86</v>
      </c>
      <c r="R433" s="9">
        <v>0.99981026734255996</v>
      </c>
      <c r="S433" s="9">
        <v>19.935852511601102</v>
      </c>
      <c r="T433" s="9">
        <v>17.187684053003199</v>
      </c>
      <c r="U433" s="8">
        <v>100</v>
      </c>
      <c r="V433" t="s">
        <v>227</v>
      </c>
      <c r="W433" s="8">
        <v>79.984831999999997</v>
      </c>
      <c r="X433">
        <v>39121704</v>
      </c>
      <c r="Y433" s="8">
        <v>99.981039999999993</v>
      </c>
      <c r="Z433">
        <v>39121704</v>
      </c>
      <c r="AA433" s="8">
        <v>99.981840000000005</v>
      </c>
      <c r="AB433" t="b">
        <f t="shared" si="6"/>
        <v>0</v>
      </c>
    </row>
    <row r="434" spans="1:28" x14ac:dyDescent="0.3">
      <c r="A434">
        <v>897467</v>
      </c>
      <c r="B434" t="s">
        <v>1257</v>
      </c>
      <c r="C434" t="s">
        <v>1152</v>
      </c>
      <c r="D434" t="s">
        <v>1258</v>
      </c>
      <c r="E434" t="s">
        <v>1259</v>
      </c>
      <c r="O434" t="s">
        <v>656</v>
      </c>
      <c r="P434" t="s">
        <v>1152</v>
      </c>
      <c r="Q434" t="s">
        <v>40</v>
      </c>
      <c r="T434" s="8">
        <v>60</v>
      </c>
      <c r="X434">
        <v>39121600</v>
      </c>
      <c r="Y434" s="9">
        <v>83.023023999999893</v>
      </c>
      <c r="Z434">
        <v>39121600</v>
      </c>
      <c r="AA434" s="8">
        <v>83.008200000000002</v>
      </c>
      <c r="AB434" t="b">
        <f t="shared" si="6"/>
        <v>0</v>
      </c>
    </row>
    <row r="435" spans="1:28" x14ac:dyDescent="0.3">
      <c r="A435">
        <v>897468</v>
      </c>
      <c r="B435" t="s">
        <v>1260</v>
      </c>
      <c r="C435" t="s">
        <v>1261</v>
      </c>
      <c r="D435" t="s">
        <v>1262</v>
      </c>
      <c r="E435" t="s">
        <v>1263</v>
      </c>
      <c r="X435">
        <v>26121505</v>
      </c>
      <c r="Y435" s="8">
        <v>78.806454000000002</v>
      </c>
      <c r="Z435">
        <v>26121505</v>
      </c>
      <c r="AA435" s="8">
        <v>78.806454000000002</v>
      </c>
      <c r="AB435" t="b">
        <f t="shared" si="6"/>
        <v>0</v>
      </c>
    </row>
    <row r="436" spans="1:28" x14ac:dyDescent="0.3">
      <c r="A436">
        <v>897469</v>
      </c>
      <c r="B436" t="s">
        <v>1264</v>
      </c>
      <c r="C436" t="s">
        <v>1261</v>
      </c>
      <c r="D436" t="s">
        <v>1265</v>
      </c>
      <c r="E436" t="s">
        <v>1266</v>
      </c>
      <c r="X436">
        <v>26121505</v>
      </c>
      <c r="Y436" s="8">
        <v>77.322640000000007</v>
      </c>
      <c r="Z436">
        <v>26121505</v>
      </c>
      <c r="AA436" s="8">
        <v>77.322640000000007</v>
      </c>
      <c r="AB436" t="b">
        <f t="shared" si="6"/>
        <v>0</v>
      </c>
    </row>
    <row r="437" spans="1:28" x14ac:dyDescent="0.3">
      <c r="A437">
        <v>897470</v>
      </c>
      <c r="B437" t="s">
        <v>1267</v>
      </c>
      <c r="C437" t="s">
        <v>1163</v>
      </c>
      <c r="D437" t="s">
        <v>1268</v>
      </c>
      <c r="E437" t="s">
        <v>1269</v>
      </c>
      <c r="AB437" t="b">
        <f t="shared" si="6"/>
        <v>0</v>
      </c>
    </row>
    <row r="438" spans="1:28" x14ac:dyDescent="0.3">
      <c r="A438">
        <v>897471</v>
      </c>
      <c r="B438" t="s">
        <v>1270</v>
      </c>
      <c r="C438" t="s">
        <v>1109</v>
      </c>
      <c r="D438" t="s">
        <v>1271</v>
      </c>
      <c r="O438" t="s">
        <v>45</v>
      </c>
      <c r="P438" t="s">
        <v>1272</v>
      </c>
      <c r="Q438" t="s">
        <v>40</v>
      </c>
      <c r="T438" s="8">
        <v>70</v>
      </c>
      <c r="AB438" t="b">
        <f t="shared" si="6"/>
        <v>0</v>
      </c>
    </row>
    <row r="439" spans="1:28" ht="43.2" x14ac:dyDescent="0.3">
      <c r="A439">
        <v>897472</v>
      </c>
      <c r="B439" s="2" t="s">
        <v>1273</v>
      </c>
      <c r="C439" t="s">
        <v>1102</v>
      </c>
      <c r="D439">
        <v>709</v>
      </c>
      <c r="E439" t="s">
        <v>1274</v>
      </c>
      <c r="O439" t="s">
        <v>45</v>
      </c>
      <c r="P439" t="s">
        <v>1272</v>
      </c>
      <c r="Q439" t="s">
        <v>40</v>
      </c>
      <c r="T439" s="8">
        <v>70</v>
      </c>
      <c r="V439" t="s">
        <v>308</v>
      </c>
      <c r="W439" s="9">
        <v>85.268389999999997</v>
      </c>
      <c r="X439">
        <v>39121420</v>
      </c>
      <c r="Y439" s="8">
        <v>50.712314999999997</v>
      </c>
      <c r="Z439">
        <v>39121420</v>
      </c>
      <c r="AA439" s="8">
        <v>50.712314999999997</v>
      </c>
      <c r="AB439" t="b">
        <f t="shared" si="6"/>
        <v>0</v>
      </c>
    </row>
    <row r="440" spans="1:28" x14ac:dyDescent="0.3">
      <c r="A440">
        <v>897473</v>
      </c>
      <c r="B440" t="s">
        <v>1275</v>
      </c>
      <c r="C440" t="s">
        <v>1090</v>
      </c>
      <c r="E440" t="s">
        <v>1276</v>
      </c>
      <c r="X440">
        <v>41113600</v>
      </c>
      <c r="Y440" s="9">
        <v>72.651757333333293</v>
      </c>
      <c r="Z440">
        <v>41113600</v>
      </c>
      <c r="AA440" s="9">
        <v>72.651757333333293</v>
      </c>
      <c r="AB440" t="b">
        <f t="shared" si="6"/>
        <v>0</v>
      </c>
    </row>
    <row r="441" spans="1:28" x14ac:dyDescent="0.3">
      <c r="A441">
        <v>897474</v>
      </c>
      <c r="B441" t="s">
        <v>1277</v>
      </c>
      <c r="C441" t="s">
        <v>42</v>
      </c>
      <c r="D441" t="s">
        <v>1278</v>
      </c>
      <c r="O441" t="s">
        <v>45</v>
      </c>
      <c r="P441" t="s">
        <v>42</v>
      </c>
      <c r="Q441" t="s">
        <v>40</v>
      </c>
      <c r="T441" s="8">
        <v>60</v>
      </c>
      <c r="X441">
        <v>39131700</v>
      </c>
      <c r="Y441" s="9">
        <v>77.476609999999994</v>
      </c>
      <c r="Z441">
        <v>39131700</v>
      </c>
      <c r="AA441" s="9">
        <v>77.476609999999994</v>
      </c>
      <c r="AB441" t="b">
        <f t="shared" si="6"/>
        <v>0</v>
      </c>
    </row>
    <row r="442" spans="1:28" x14ac:dyDescent="0.3">
      <c r="A442">
        <v>897475</v>
      </c>
      <c r="B442" t="s">
        <v>1279</v>
      </c>
      <c r="C442" t="s">
        <v>1163</v>
      </c>
      <c r="D442" t="s">
        <v>819</v>
      </c>
      <c r="E442" t="s">
        <v>820</v>
      </c>
      <c r="X442">
        <v>39121613</v>
      </c>
      <c r="Y442" s="8">
        <v>80.486509999999996</v>
      </c>
      <c r="Z442">
        <v>39121613</v>
      </c>
      <c r="AA442" s="8">
        <v>80.486509999999996</v>
      </c>
      <c r="AB442" t="b">
        <f t="shared" si="6"/>
        <v>0</v>
      </c>
    </row>
    <row r="443" spans="1:28" x14ac:dyDescent="0.3">
      <c r="A443">
        <v>897476</v>
      </c>
      <c r="B443" t="s">
        <v>1280</v>
      </c>
      <c r="C443" t="s">
        <v>42</v>
      </c>
      <c r="D443" t="s">
        <v>1128</v>
      </c>
      <c r="E443" t="s">
        <v>1234</v>
      </c>
      <c r="O443" t="s">
        <v>45</v>
      </c>
      <c r="P443" t="s">
        <v>42</v>
      </c>
      <c r="Q443" t="s">
        <v>40</v>
      </c>
      <c r="T443" s="8">
        <v>60</v>
      </c>
      <c r="X443">
        <v>39131707</v>
      </c>
      <c r="Y443" s="8">
        <v>83.236320000000006</v>
      </c>
      <c r="Z443">
        <v>39131707</v>
      </c>
      <c r="AA443" s="8">
        <v>83.236320000000006</v>
      </c>
      <c r="AB443" t="b">
        <f t="shared" si="6"/>
        <v>0</v>
      </c>
    </row>
    <row r="444" spans="1:28" x14ac:dyDescent="0.3">
      <c r="A444">
        <v>897477</v>
      </c>
      <c r="B444" t="s">
        <v>1281</v>
      </c>
      <c r="C444" t="s">
        <v>1163</v>
      </c>
      <c r="D444" t="s">
        <v>1282</v>
      </c>
      <c r="X444">
        <v>31162900</v>
      </c>
      <c r="Y444" s="8">
        <v>63.917200000000001</v>
      </c>
      <c r="Z444">
        <v>31162900</v>
      </c>
      <c r="AA444" s="8">
        <v>63.92</v>
      </c>
      <c r="AB444" t="b">
        <f t="shared" si="6"/>
        <v>0</v>
      </c>
    </row>
    <row r="445" spans="1:28" x14ac:dyDescent="0.3">
      <c r="A445">
        <v>897478</v>
      </c>
      <c r="B445" t="s">
        <v>1283</v>
      </c>
      <c r="C445" t="s">
        <v>1104</v>
      </c>
      <c r="D445" t="s">
        <v>1284</v>
      </c>
      <c r="E445" t="s">
        <v>1285</v>
      </c>
      <c r="O445" t="s">
        <v>1001</v>
      </c>
      <c r="P445" t="s">
        <v>1001</v>
      </c>
      <c r="Q445" t="s">
        <v>40</v>
      </c>
      <c r="T445" s="8">
        <v>60</v>
      </c>
      <c r="V445" t="s">
        <v>321</v>
      </c>
      <c r="W445" s="9">
        <v>88.1557999999999</v>
      </c>
      <c r="X445">
        <v>31162100</v>
      </c>
      <c r="Y445" s="9">
        <v>78.304391111111102</v>
      </c>
      <c r="Z445">
        <v>31162100</v>
      </c>
      <c r="AA445" s="8">
        <v>78.304079999999999</v>
      </c>
      <c r="AB445" t="b">
        <f t="shared" si="6"/>
        <v>0</v>
      </c>
    </row>
    <row r="446" spans="1:28" x14ac:dyDescent="0.3">
      <c r="A446">
        <v>897479</v>
      </c>
      <c r="B446" t="s">
        <v>1286</v>
      </c>
      <c r="C446" t="s">
        <v>1082</v>
      </c>
      <c r="D446" t="s">
        <v>1287</v>
      </c>
      <c r="E446" t="s">
        <v>1288</v>
      </c>
      <c r="G446">
        <v>337087</v>
      </c>
      <c r="H446" t="s">
        <v>1287</v>
      </c>
      <c r="I446" t="s">
        <v>343</v>
      </c>
      <c r="J446" s="5">
        <v>783510433802</v>
      </c>
      <c r="K446">
        <v>39121332</v>
      </c>
      <c r="L446" t="s">
        <v>1289</v>
      </c>
      <c r="M446">
        <v>259519</v>
      </c>
      <c r="N446" t="s">
        <v>1290</v>
      </c>
      <c r="O446" t="s">
        <v>343</v>
      </c>
      <c r="Q446" t="s">
        <v>86</v>
      </c>
      <c r="R446" s="9">
        <v>0.98378631016100604</v>
      </c>
      <c r="S446" s="8">
        <v>100</v>
      </c>
      <c r="T446" s="8">
        <v>100</v>
      </c>
      <c r="U446" s="8">
        <v>100</v>
      </c>
      <c r="V446" t="s">
        <v>343</v>
      </c>
      <c r="W446" s="9">
        <v>98.404499999999899</v>
      </c>
      <c r="X446">
        <v>39121303</v>
      </c>
      <c r="Y446" s="8">
        <v>96.979945999999998</v>
      </c>
      <c r="Z446">
        <v>39121303</v>
      </c>
      <c r="AA446" s="8">
        <v>96.979945999999998</v>
      </c>
      <c r="AB446" t="b">
        <f t="shared" si="6"/>
        <v>0</v>
      </c>
    </row>
    <row r="447" spans="1:28" x14ac:dyDescent="0.3">
      <c r="A447">
        <v>897480</v>
      </c>
      <c r="B447" t="s">
        <v>1291</v>
      </c>
      <c r="C447" t="s">
        <v>1082</v>
      </c>
      <c r="D447" t="s">
        <v>1292</v>
      </c>
      <c r="E447" t="s">
        <v>1289</v>
      </c>
      <c r="G447">
        <v>337095</v>
      </c>
      <c r="H447" t="s">
        <v>1292</v>
      </c>
      <c r="I447" t="s">
        <v>343</v>
      </c>
      <c r="J447" s="5">
        <v>783510433307</v>
      </c>
      <c r="K447">
        <v>39121303</v>
      </c>
      <c r="L447" t="s">
        <v>1293</v>
      </c>
      <c r="M447">
        <v>259552</v>
      </c>
      <c r="N447" t="s">
        <v>1294</v>
      </c>
      <c r="O447" t="s">
        <v>343</v>
      </c>
      <c r="Q447" t="s">
        <v>86</v>
      </c>
      <c r="R447" s="9">
        <v>0.98630926157158605</v>
      </c>
      <c r="S447" s="8">
        <v>100</v>
      </c>
      <c r="T447" s="8">
        <v>100</v>
      </c>
      <c r="U447" s="8">
        <v>100</v>
      </c>
      <c r="V447" t="s">
        <v>343</v>
      </c>
      <c r="W447" s="9">
        <v>98.6494059999999</v>
      </c>
      <c r="X447">
        <v>39121303</v>
      </c>
      <c r="Y447" s="8">
        <v>98.649405999999999</v>
      </c>
      <c r="Z447">
        <v>39121303</v>
      </c>
      <c r="AA447" s="8">
        <v>98.649405999999999</v>
      </c>
      <c r="AB447" t="b">
        <f t="shared" si="6"/>
        <v>0</v>
      </c>
    </row>
    <row r="448" spans="1:28" x14ac:dyDescent="0.3">
      <c r="A448">
        <v>897481</v>
      </c>
      <c r="B448" t="s">
        <v>1295</v>
      </c>
      <c r="C448" t="s">
        <v>1102</v>
      </c>
      <c r="D448">
        <v>462</v>
      </c>
      <c r="E448" t="s">
        <v>1293</v>
      </c>
      <c r="X448">
        <v>39121300</v>
      </c>
      <c r="Y448" s="9">
        <v>68.951230222222193</v>
      </c>
      <c r="Z448">
        <v>39121300</v>
      </c>
      <c r="AA448" s="9">
        <v>68.951230222222193</v>
      </c>
      <c r="AB448" t="b">
        <f t="shared" si="6"/>
        <v>0</v>
      </c>
    </row>
    <row r="449" spans="1:28" x14ac:dyDescent="0.3">
      <c r="A449">
        <v>897482</v>
      </c>
      <c r="B449" t="s">
        <v>1296</v>
      </c>
      <c r="C449" t="s">
        <v>1297</v>
      </c>
      <c r="D449" t="s">
        <v>1298</v>
      </c>
      <c r="E449" t="s">
        <v>1299</v>
      </c>
      <c r="X449">
        <v>26121600</v>
      </c>
      <c r="Y449" s="8">
        <v>78.571826000000001</v>
      </c>
      <c r="Z449">
        <v>26121600</v>
      </c>
      <c r="AA449" s="8">
        <v>78.571826000000001</v>
      </c>
      <c r="AB449" t="b">
        <f t="shared" si="6"/>
        <v>0</v>
      </c>
    </row>
    <row r="450" spans="1:28" x14ac:dyDescent="0.3">
      <c r="A450">
        <v>897483</v>
      </c>
      <c r="B450" t="s">
        <v>1300</v>
      </c>
      <c r="C450" t="s">
        <v>1104</v>
      </c>
      <c r="D450" t="s">
        <v>1301</v>
      </c>
      <c r="E450" t="s">
        <v>1302</v>
      </c>
      <c r="G450">
        <v>210729</v>
      </c>
      <c r="H450" t="s">
        <v>1301</v>
      </c>
      <c r="I450" t="s">
        <v>321</v>
      </c>
      <c r="J450" s="5">
        <v>781002156048</v>
      </c>
      <c r="K450">
        <v>31161506</v>
      </c>
      <c r="M450">
        <v>37785</v>
      </c>
      <c r="N450" t="s">
        <v>1303</v>
      </c>
      <c r="O450" t="s">
        <v>321</v>
      </c>
      <c r="Q450" t="s">
        <v>86</v>
      </c>
      <c r="R450" s="9">
        <v>0.91696305438875003</v>
      </c>
      <c r="S450" s="9">
        <v>83.348152719437493</v>
      </c>
      <c r="T450" s="9">
        <v>87.348152719437493</v>
      </c>
      <c r="U450" s="8">
        <v>100</v>
      </c>
      <c r="V450" t="s">
        <v>321</v>
      </c>
      <c r="W450" s="9">
        <v>92.3329599999999</v>
      </c>
      <c r="X450">
        <v>31161507</v>
      </c>
      <c r="Y450" s="8">
        <v>91.480475999999996</v>
      </c>
      <c r="Z450">
        <v>31161507</v>
      </c>
      <c r="AA450" s="8">
        <v>91.480475999999996</v>
      </c>
      <c r="AB450" t="b">
        <f t="shared" si="6"/>
        <v>0</v>
      </c>
    </row>
    <row r="451" spans="1:28" ht="57.6" x14ac:dyDescent="0.3">
      <c r="A451">
        <v>897484</v>
      </c>
      <c r="B451" s="2" t="s">
        <v>1304</v>
      </c>
      <c r="C451" t="s">
        <v>1054</v>
      </c>
      <c r="D451" t="s">
        <v>289</v>
      </c>
      <c r="E451" t="s">
        <v>1305</v>
      </c>
      <c r="G451">
        <v>335696</v>
      </c>
      <c r="H451" t="s">
        <v>290</v>
      </c>
      <c r="I451" t="s">
        <v>104</v>
      </c>
      <c r="J451" s="5">
        <v>781011213305</v>
      </c>
      <c r="K451">
        <v>30101804</v>
      </c>
      <c r="L451" t="s">
        <v>103</v>
      </c>
      <c r="M451">
        <v>253277</v>
      </c>
      <c r="N451" t="s">
        <v>1056</v>
      </c>
      <c r="O451" t="s">
        <v>48</v>
      </c>
      <c r="Q451" t="s">
        <v>86</v>
      </c>
      <c r="R451" s="9">
        <v>0.90659398642490596</v>
      </c>
      <c r="S451" s="8">
        <v>100</v>
      </c>
      <c r="T451" s="8">
        <v>100</v>
      </c>
      <c r="U451" s="8">
        <v>100</v>
      </c>
      <c r="V451" t="s">
        <v>104</v>
      </c>
      <c r="W451" s="8">
        <v>91.457329999999999</v>
      </c>
      <c r="X451">
        <v>30101804</v>
      </c>
      <c r="Y451" s="8">
        <v>91.457329999999999</v>
      </c>
      <c r="Z451">
        <v>30101804</v>
      </c>
      <c r="AA451" s="8">
        <v>91.267245000000003</v>
      </c>
      <c r="AB451" t="b">
        <f t="shared" ref="AB451:AB514" si="7">(AA451-Y451)&lt;-1</f>
        <v>0</v>
      </c>
    </row>
    <row r="452" spans="1:28" x14ac:dyDescent="0.3">
      <c r="A452">
        <v>897485</v>
      </c>
      <c r="B452" t="s">
        <v>1306</v>
      </c>
      <c r="C452" t="s">
        <v>1131</v>
      </c>
      <c r="D452" t="s">
        <v>1307</v>
      </c>
      <c r="G452">
        <v>252662</v>
      </c>
      <c r="H452">
        <v>48220428</v>
      </c>
      <c r="I452" t="s">
        <v>164</v>
      </c>
      <c r="J452" s="6" t="s">
        <v>1308</v>
      </c>
      <c r="K452">
        <v>27111801</v>
      </c>
      <c r="M452">
        <v>223914</v>
      </c>
      <c r="N452" t="s">
        <v>1309</v>
      </c>
      <c r="O452" t="s">
        <v>164</v>
      </c>
      <c r="Q452" t="s">
        <v>86</v>
      </c>
      <c r="R452" s="9">
        <v>0.87243056933053797</v>
      </c>
      <c r="S452" s="9">
        <v>91.121528466526897</v>
      </c>
      <c r="T452" s="9">
        <v>91.121528466526897</v>
      </c>
      <c r="U452" s="9">
        <v>99.486113866107601</v>
      </c>
      <c r="V452" t="s">
        <v>164</v>
      </c>
      <c r="W452" s="9">
        <v>90.430312999999899</v>
      </c>
      <c r="X452">
        <v>27111801</v>
      </c>
      <c r="Y452" s="9">
        <v>90.430312999999899</v>
      </c>
      <c r="Z452">
        <v>27111801</v>
      </c>
      <c r="AA452" s="9">
        <v>90.430312999999899</v>
      </c>
      <c r="AB452" t="b">
        <f t="shared" si="7"/>
        <v>0</v>
      </c>
    </row>
    <row r="453" spans="1:28" x14ac:dyDescent="0.3">
      <c r="A453">
        <v>897486</v>
      </c>
      <c r="B453" t="s">
        <v>1232</v>
      </c>
      <c r="C453" t="s">
        <v>1163</v>
      </c>
      <c r="D453" t="s">
        <v>1233</v>
      </c>
      <c r="E453" t="s">
        <v>103</v>
      </c>
      <c r="G453">
        <v>330413</v>
      </c>
      <c r="H453" t="s">
        <v>1233</v>
      </c>
      <c r="I453" t="s">
        <v>1079</v>
      </c>
      <c r="J453" s="5">
        <v>784491160589</v>
      </c>
      <c r="K453">
        <v>39121432</v>
      </c>
      <c r="M453">
        <v>25260</v>
      </c>
      <c r="N453" t="s">
        <v>1235</v>
      </c>
      <c r="O453" t="s">
        <v>1079</v>
      </c>
      <c r="Q453" t="s">
        <v>75</v>
      </c>
      <c r="R453" s="9">
        <v>0.45503885183954101</v>
      </c>
      <c r="S453" s="9">
        <v>45.251942591976999</v>
      </c>
      <c r="T453" s="9">
        <v>21.251942591976999</v>
      </c>
      <c r="U453" s="8">
        <v>0</v>
      </c>
      <c r="X453">
        <v>31161618</v>
      </c>
      <c r="Y453" s="8">
        <v>62.100712000000001</v>
      </c>
      <c r="Z453">
        <v>31161618</v>
      </c>
      <c r="AA453" s="8">
        <v>62.100712000000001</v>
      </c>
      <c r="AB453" t="b">
        <f t="shared" si="7"/>
        <v>0</v>
      </c>
    </row>
    <row r="454" spans="1:28" x14ac:dyDescent="0.3">
      <c r="A454">
        <v>897487</v>
      </c>
      <c r="B454" t="s">
        <v>1310</v>
      </c>
      <c r="C454" t="s">
        <v>1311</v>
      </c>
      <c r="D454" t="s">
        <v>1312</v>
      </c>
      <c r="E454" t="s">
        <v>1313</v>
      </c>
      <c r="G454">
        <v>336909</v>
      </c>
      <c r="H454" t="s">
        <v>1314</v>
      </c>
      <c r="I454" t="s">
        <v>1315</v>
      </c>
      <c r="J454" s="5">
        <v>781381445757</v>
      </c>
      <c r="K454">
        <v>39131708</v>
      </c>
      <c r="L454" t="s">
        <v>1313</v>
      </c>
      <c r="M454">
        <v>252089</v>
      </c>
      <c r="N454" t="s">
        <v>1316</v>
      </c>
      <c r="O454" t="s">
        <v>1315</v>
      </c>
      <c r="Q454" t="s">
        <v>86</v>
      </c>
      <c r="R454" s="9">
        <v>0.84994853855469399</v>
      </c>
      <c r="S454" s="9">
        <v>89.997426927734693</v>
      </c>
      <c r="T454" s="9">
        <v>89.997426927734693</v>
      </c>
      <c r="U454" s="8">
        <v>94.989707710938802</v>
      </c>
      <c r="V454" t="s">
        <v>1315</v>
      </c>
      <c r="W454" s="8">
        <v>86.952640000000002</v>
      </c>
      <c r="X454">
        <v>39131708</v>
      </c>
      <c r="Y454" s="8">
        <v>86.952640000000002</v>
      </c>
      <c r="Z454">
        <v>39131708</v>
      </c>
      <c r="AA454" s="8">
        <v>86.952640000000002</v>
      </c>
      <c r="AB454" t="b">
        <f t="shared" si="7"/>
        <v>0</v>
      </c>
    </row>
    <row r="455" spans="1:28" x14ac:dyDescent="0.3">
      <c r="A455">
        <v>897488</v>
      </c>
      <c r="B455" t="s">
        <v>1317</v>
      </c>
      <c r="C455" t="s">
        <v>1318</v>
      </c>
      <c r="D455" t="s">
        <v>1319</v>
      </c>
      <c r="O455" t="s">
        <v>1320</v>
      </c>
      <c r="P455" t="s">
        <v>1321</v>
      </c>
      <c r="Q455" t="s">
        <v>40</v>
      </c>
      <c r="T455" s="8">
        <v>100</v>
      </c>
      <c r="AB455" t="b">
        <f t="shared" si="7"/>
        <v>0</v>
      </c>
    </row>
    <row r="456" spans="1:28" x14ac:dyDescent="0.3">
      <c r="A456">
        <v>897489</v>
      </c>
      <c r="B456" t="s">
        <v>1322</v>
      </c>
      <c r="C456" t="s">
        <v>1311</v>
      </c>
      <c r="D456" t="s">
        <v>1323</v>
      </c>
      <c r="E456" t="s">
        <v>1324</v>
      </c>
      <c r="G456">
        <v>336958</v>
      </c>
      <c r="H456" t="s">
        <v>1323</v>
      </c>
      <c r="I456" t="s">
        <v>1315</v>
      </c>
      <c r="J456" s="5">
        <v>781381234122</v>
      </c>
      <c r="K456">
        <v>39131700</v>
      </c>
      <c r="L456" t="s">
        <v>1324</v>
      </c>
      <c r="M456">
        <v>252210</v>
      </c>
      <c r="N456" t="s">
        <v>1325</v>
      </c>
      <c r="O456" t="s">
        <v>1315</v>
      </c>
      <c r="Q456" t="s">
        <v>86</v>
      </c>
      <c r="R456" s="8">
        <v>0.76708871886442098</v>
      </c>
      <c r="S456" s="9">
        <v>90.854435943221006</v>
      </c>
      <c r="T456" s="9">
        <v>88.854435943221006</v>
      </c>
      <c r="U456" s="8">
        <v>81.417743772884194</v>
      </c>
      <c r="V456" t="s">
        <v>1315</v>
      </c>
      <c r="W456" s="8">
        <v>90.533422999999999</v>
      </c>
      <c r="X456">
        <v>39131700</v>
      </c>
      <c r="Y456" s="8">
        <v>90.533422999999999</v>
      </c>
      <c r="Z456">
        <v>39131700</v>
      </c>
      <c r="AA456" s="8">
        <v>90.533422999999999</v>
      </c>
      <c r="AB456" t="b">
        <f t="shared" si="7"/>
        <v>0</v>
      </c>
    </row>
    <row r="457" spans="1:28" x14ac:dyDescent="0.3">
      <c r="A457">
        <v>897490</v>
      </c>
      <c r="B457" t="s">
        <v>1326</v>
      </c>
      <c r="C457" t="s">
        <v>1054</v>
      </c>
      <c r="D457" t="s">
        <v>1327</v>
      </c>
      <c r="E457" t="s">
        <v>1328</v>
      </c>
      <c r="V457" t="s">
        <v>104</v>
      </c>
      <c r="W457" s="9">
        <v>92.725049999999896</v>
      </c>
      <c r="X457">
        <v>39121701</v>
      </c>
      <c r="Y457" s="9">
        <v>92.725049999999896</v>
      </c>
      <c r="Z457">
        <v>39121701</v>
      </c>
      <c r="AA457" s="8">
        <v>92.143973500000001</v>
      </c>
      <c r="AB457" t="b">
        <f t="shared" si="7"/>
        <v>0</v>
      </c>
    </row>
    <row r="458" spans="1:28" x14ac:dyDescent="0.3">
      <c r="A458">
        <v>897491</v>
      </c>
      <c r="B458" t="s">
        <v>1329</v>
      </c>
      <c r="C458" t="s">
        <v>1330</v>
      </c>
      <c r="D458" t="s">
        <v>1331</v>
      </c>
      <c r="E458" t="s">
        <v>1332</v>
      </c>
      <c r="O458" t="s">
        <v>216</v>
      </c>
      <c r="P458" t="s">
        <v>1330</v>
      </c>
      <c r="Q458" t="s">
        <v>40</v>
      </c>
      <c r="T458" s="8">
        <v>70</v>
      </c>
      <c r="X458">
        <v>39110000</v>
      </c>
      <c r="Y458" s="9">
        <v>80.015639999999905</v>
      </c>
      <c r="Z458">
        <v>39110000</v>
      </c>
      <c r="AA458" s="9">
        <v>80.015639999999905</v>
      </c>
      <c r="AB458" t="b">
        <f t="shared" si="7"/>
        <v>0</v>
      </c>
    </row>
    <row r="459" spans="1:28" x14ac:dyDescent="0.3">
      <c r="A459">
        <v>897492</v>
      </c>
      <c r="B459" t="s">
        <v>1333</v>
      </c>
      <c r="C459" t="s">
        <v>1054</v>
      </c>
      <c r="D459" t="s">
        <v>1334</v>
      </c>
      <c r="E459" t="s">
        <v>1335</v>
      </c>
      <c r="G459">
        <v>335795</v>
      </c>
      <c r="H459" t="s">
        <v>1336</v>
      </c>
      <c r="I459" t="s">
        <v>104</v>
      </c>
      <c r="J459" s="5">
        <v>781011257309</v>
      </c>
      <c r="K459">
        <v>30101804</v>
      </c>
      <c r="L459" t="s">
        <v>1335</v>
      </c>
      <c r="M459">
        <v>253317</v>
      </c>
      <c r="N459" t="s">
        <v>1337</v>
      </c>
      <c r="O459" t="s">
        <v>48</v>
      </c>
      <c r="Q459" t="s">
        <v>86</v>
      </c>
      <c r="R459" s="9">
        <v>0.92033256271726005</v>
      </c>
      <c r="S459" s="8">
        <v>100</v>
      </c>
      <c r="T459" s="8">
        <v>100</v>
      </c>
      <c r="U459" s="8">
        <v>100</v>
      </c>
      <c r="V459" t="s">
        <v>104</v>
      </c>
      <c r="W459" s="8">
        <v>92.621123999999995</v>
      </c>
      <c r="X459">
        <v>30101804</v>
      </c>
      <c r="Y459" s="8">
        <v>92.621123999999995</v>
      </c>
      <c r="Z459">
        <v>30101804</v>
      </c>
      <c r="AA459" s="8">
        <v>92.053145499999999</v>
      </c>
      <c r="AB459" t="b">
        <f t="shared" si="7"/>
        <v>0</v>
      </c>
    </row>
    <row r="460" spans="1:28" x14ac:dyDescent="0.3">
      <c r="A460">
        <v>897494</v>
      </c>
      <c r="B460" t="s">
        <v>1338</v>
      </c>
      <c r="C460" t="s">
        <v>1054</v>
      </c>
      <c r="D460" t="s">
        <v>1339</v>
      </c>
      <c r="E460" t="s">
        <v>1340</v>
      </c>
      <c r="G460">
        <v>337227</v>
      </c>
      <c r="H460" t="s">
        <v>1339</v>
      </c>
      <c r="I460" t="s">
        <v>104</v>
      </c>
      <c r="J460" s="5">
        <v>781011860912</v>
      </c>
      <c r="K460">
        <v>30101800</v>
      </c>
      <c r="L460" t="s">
        <v>1340</v>
      </c>
      <c r="M460">
        <v>253304</v>
      </c>
      <c r="N460" t="s">
        <v>1341</v>
      </c>
      <c r="O460" t="s">
        <v>48</v>
      </c>
      <c r="Q460" t="s">
        <v>86</v>
      </c>
      <c r="R460" s="9">
        <v>0.96407660595720601</v>
      </c>
      <c r="S460" s="9">
        <v>95.703830297860307</v>
      </c>
      <c r="T460" s="9">
        <v>95.703830297860307</v>
      </c>
      <c r="U460" s="8">
        <v>100</v>
      </c>
      <c r="V460" t="s">
        <v>104</v>
      </c>
      <c r="W460" s="9">
        <v>96.532249999999905</v>
      </c>
      <c r="X460">
        <v>30102900</v>
      </c>
      <c r="Y460" s="9">
        <v>79.303742222222198</v>
      </c>
      <c r="Z460">
        <v>30101800</v>
      </c>
      <c r="AA460" s="9">
        <v>96.532249999999905</v>
      </c>
      <c r="AB460" t="b">
        <f t="shared" si="7"/>
        <v>0</v>
      </c>
    </row>
    <row r="461" spans="1:28" x14ac:dyDescent="0.3">
      <c r="A461">
        <v>897495</v>
      </c>
      <c r="B461" t="s">
        <v>1342</v>
      </c>
      <c r="C461" t="s">
        <v>1113</v>
      </c>
      <c r="D461" t="s">
        <v>1343</v>
      </c>
      <c r="E461" t="s">
        <v>1344</v>
      </c>
      <c r="O461" t="s">
        <v>1230</v>
      </c>
      <c r="P461" t="s">
        <v>1231</v>
      </c>
      <c r="Q461" t="s">
        <v>40</v>
      </c>
      <c r="T461" s="8">
        <v>60</v>
      </c>
      <c r="X461">
        <v>39131718</v>
      </c>
      <c r="Y461" s="8">
        <v>76.349705</v>
      </c>
      <c r="Z461">
        <v>39131718</v>
      </c>
      <c r="AA461" s="8">
        <v>76.349705</v>
      </c>
      <c r="AB461" t="b">
        <f t="shared" si="7"/>
        <v>0</v>
      </c>
    </row>
    <row r="462" spans="1:28" x14ac:dyDescent="0.3">
      <c r="A462">
        <v>897496</v>
      </c>
      <c r="B462" t="s">
        <v>1345</v>
      </c>
      <c r="C462" t="s">
        <v>1113</v>
      </c>
      <c r="D462" t="s">
        <v>1346</v>
      </c>
      <c r="E462" t="s">
        <v>1347</v>
      </c>
      <c r="O462" t="s">
        <v>1230</v>
      </c>
      <c r="P462" t="s">
        <v>1231</v>
      </c>
      <c r="Q462" t="s">
        <v>40</v>
      </c>
      <c r="T462" s="8">
        <v>60</v>
      </c>
      <c r="AB462" t="b">
        <f t="shared" si="7"/>
        <v>0</v>
      </c>
    </row>
    <row r="463" spans="1:28" ht="43.2" x14ac:dyDescent="0.3">
      <c r="A463">
        <v>897497</v>
      </c>
      <c r="B463" s="2" t="s">
        <v>1348</v>
      </c>
      <c r="C463" t="s">
        <v>1311</v>
      </c>
      <c r="D463" t="s">
        <v>1349</v>
      </c>
      <c r="E463" t="s">
        <v>1350</v>
      </c>
      <c r="G463">
        <v>336965</v>
      </c>
      <c r="H463" t="s">
        <v>1349</v>
      </c>
      <c r="I463" t="s">
        <v>1315</v>
      </c>
      <c r="J463" s="5">
        <v>781381621168</v>
      </c>
      <c r="K463">
        <v>39121311</v>
      </c>
      <c r="L463" t="s">
        <v>1350</v>
      </c>
      <c r="M463">
        <v>252247</v>
      </c>
      <c r="N463" t="s">
        <v>1351</v>
      </c>
      <c r="O463" t="s">
        <v>1315</v>
      </c>
      <c r="Q463" t="s">
        <v>86</v>
      </c>
      <c r="R463" s="9">
        <v>0.93363656261797801</v>
      </c>
      <c r="S463" s="9">
        <v>23.948531868049901</v>
      </c>
      <c r="T463" s="9">
        <v>22.661967315951799</v>
      </c>
      <c r="U463" s="9">
        <v>55.4144021039751</v>
      </c>
      <c r="V463" t="s">
        <v>1315</v>
      </c>
      <c r="W463" s="9">
        <v>93.776654999999906</v>
      </c>
      <c r="X463">
        <v>39121311</v>
      </c>
      <c r="Y463" s="9">
        <v>93.776654999999906</v>
      </c>
      <c r="Z463">
        <v>39121311</v>
      </c>
      <c r="AA463" s="8">
        <v>93.112837499999998</v>
      </c>
      <c r="AB463" t="b">
        <f t="shared" si="7"/>
        <v>0</v>
      </c>
    </row>
    <row r="464" spans="1:28" x14ac:dyDescent="0.3">
      <c r="A464">
        <v>897498</v>
      </c>
      <c r="B464" t="s">
        <v>1236</v>
      </c>
      <c r="C464" t="s">
        <v>1104</v>
      </c>
      <c r="D464" t="s">
        <v>1237</v>
      </c>
      <c r="E464" t="s">
        <v>1238</v>
      </c>
      <c r="G464">
        <v>210726</v>
      </c>
      <c r="H464" t="s">
        <v>1239</v>
      </c>
      <c r="I464" t="s">
        <v>321</v>
      </c>
      <c r="J464" s="5">
        <v>781002155157</v>
      </c>
      <c r="K464">
        <v>31161823</v>
      </c>
      <c r="M464">
        <v>37779</v>
      </c>
      <c r="N464" t="s">
        <v>1240</v>
      </c>
      <c r="O464" t="s">
        <v>321</v>
      </c>
      <c r="Q464" t="s">
        <v>86</v>
      </c>
      <c r="R464" s="9">
        <v>0.91821317790820201</v>
      </c>
      <c r="S464" s="8">
        <v>100</v>
      </c>
      <c r="T464" s="8">
        <v>100</v>
      </c>
      <c r="U464" s="8">
        <v>100</v>
      </c>
      <c r="V464" t="s">
        <v>321</v>
      </c>
      <c r="W464" s="9">
        <v>99.059992999999906</v>
      </c>
      <c r="X464">
        <v>31161823</v>
      </c>
      <c r="Y464" s="9">
        <v>99.059992999999906</v>
      </c>
      <c r="Z464">
        <v>31161823</v>
      </c>
      <c r="AA464" s="8">
        <v>99.059993000000006</v>
      </c>
      <c r="AB464" t="b">
        <f t="shared" si="7"/>
        <v>0</v>
      </c>
    </row>
    <row r="465" spans="1:28" ht="43.2" x14ac:dyDescent="0.3">
      <c r="A465">
        <v>897499</v>
      </c>
      <c r="B465" s="2" t="s">
        <v>1352</v>
      </c>
      <c r="C465" t="s">
        <v>1311</v>
      </c>
      <c r="D465" t="s">
        <v>1353</v>
      </c>
      <c r="E465" t="s">
        <v>1354</v>
      </c>
      <c r="G465">
        <v>336964</v>
      </c>
      <c r="H465" t="s">
        <v>1355</v>
      </c>
      <c r="I465" t="s">
        <v>1315</v>
      </c>
      <c r="J465" s="5">
        <v>781381293655</v>
      </c>
      <c r="K465">
        <v>39131717</v>
      </c>
      <c r="L465" t="s">
        <v>1354</v>
      </c>
      <c r="M465">
        <v>252242</v>
      </c>
      <c r="N465" t="s">
        <v>1356</v>
      </c>
      <c r="O465" t="s">
        <v>1315</v>
      </c>
      <c r="Q465" t="s">
        <v>86</v>
      </c>
      <c r="R465" s="8">
        <v>0.84223614793767698</v>
      </c>
      <c r="S465" s="9">
        <v>89.611807396883805</v>
      </c>
      <c r="T465" s="9">
        <v>89.611807396883805</v>
      </c>
      <c r="U465" s="9">
        <v>93.447229587535304</v>
      </c>
      <c r="V465" t="s">
        <v>1315</v>
      </c>
      <c r="W465" s="9">
        <v>88.763829999999999</v>
      </c>
      <c r="X465">
        <v>39131717</v>
      </c>
      <c r="Y465" s="9">
        <v>88.763829999999999</v>
      </c>
      <c r="Z465">
        <v>39131717</v>
      </c>
      <c r="AA465" s="9">
        <v>88.763829999999999</v>
      </c>
      <c r="AB465" t="b">
        <f t="shared" si="7"/>
        <v>0</v>
      </c>
    </row>
    <row r="466" spans="1:28" x14ac:dyDescent="0.3">
      <c r="A466">
        <v>897500</v>
      </c>
      <c r="B466" t="s">
        <v>1357</v>
      </c>
      <c r="C466" t="s">
        <v>1113</v>
      </c>
      <c r="D466" t="s">
        <v>1358</v>
      </c>
      <c r="E466" t="s">
        <v>1359</v>
      </c>
      <c r="O466" t="s">
        <v>1230</v>
      </c>
      <c r="P466" t="s">
        <v>1231</v>
      </c>
      <c r="Q466" t="s">
        <v>40</v>
      </c>
      <c r="T466" s="8">
        <v>60</v>
      </c>
      <c r="AB466" t="b">
        <f t="shared" si="7"/>
        <v>0</v>
      </c>
    </row>
    <row r="467" spans="1:28" x14ac:dyDescent="0.3">
      <c r="A467">
        <v>897501</v>
      </c>
      <c r="B467" t="s">
        <v>1360</v>
      </c>
      <c r="C467" t="s">
        <v>1163</v>
      </c>
      <c r="D467" t="s">
        <v>1361</v>
      </c>
      <c r="E467" t="s">
        <v>1362</v>
      </c>
      <c r="AB467" t="b">
        <f t="shared" si="7"/>
        <v>0</v>
      </c>
    </row>
    <row r="468" spans="1:28" x14ac:dyDescent="0.3">
      <c r="A468">
        <v>897502</v>
      </c>
      <c r="B468" t="s">
        <v>1363</v>
      </c>
      <c r="C468" t="s">
        <v>1102</v>
      </c>
      <c r="D468">
        <v>11</v>
      </c>
      <c r="E468" t="s">
        <v>1364</v>
      </c>
      <c r="X468">
        <v>39121304</v>
      </c>
      <c r="Y468" s="8">
        <v>79.455690000000004</v>
      </c>
      <c r="Z468">
        <v>39121304</v>
      </c>
      <c r="AA468" s="8">
        <v>79.455690000000004</v>
      </c>
      <c r="AB468" t="b">
        <f t="shared" si="7"/>
        <v>0</v>
      </c>
    </row>
    <row r="469" spans="1:28" x14ac:dyDescent="0.3">
      <c r="A469">
        <v>897504</v>
      </c>
      <c r="B469" t="s">
        <v>1365</v>
      </c>
      <c r="C469" t="s">
        <v>1167</v>
      </c>
      <c r="D469" t="s">
        <v>1366</v>
      </c>
      <c r="E469" t="s">
        <v>1367</v>
      </c>
      <c r="G469">
        <v>336464</v>
      </c>
      <c r="H469">
        <v>645118</v>
      </c>
      <c r="I469" t="s">
        <v>73</v>
      </c>
      <c r="J469" s="5">
        <v>783310056973</v>
      </c>
      <c r="K469">
        <v>23241638</v>
      </c>
      <c r="L469" t="s">
        <v>1367</v>
      </c>
      <c r="M469">
        <v>258965</v>
      </c>
      <c r="N469" t="s">
        <v>1368</v>
      </c>
      <c r="O469" t="s">
        <v>73</v>
      </c>
      <c r="Q469" t="s">
        <v>86</v>
      </c>
      <c r="R469" s="9">
        <v>0.91972972584152402</v>
      </c>
      <c r="S469" s="9">
        <v>83.486486292076194</v>
      </c>
      <c r="T469" s="9">
        <v>87.486486292076194</v>
      </c>
      <c r="U469" s="8">
        <v>100</v>
      </c>
      <c r="V469" t="s">
        <v>73</v>
      </c>
      <c r="W469" s="8">
        <v>92.569434999999999</v>
      </c>
      <c r="X469">
        <v>23241638</v>
      </c>
      <c r="Y469" s="8">
        <v>92.569434999999999</v>
      </c>
      <c r="Z469">
        <v>23241638</v>
      </c>
      <c r="AA469" s="8">
        <v>92.392837499999999</v>
      </c>
      <c r="AB469" t="b">
        <f t="shared" si="7"/>
        <v>0</v>
      </c>
    </row>
    <row r="470" spans="1:28" x14ac:dyDescent="0.3">
      <c r="A470">
        <v>897505</v>
      </c>
      <c r="B470" t="s">
        <v>1068</v>
      </c>
      <c r="C470" t="s">
        <v>1054</v>
      </c>
      <c r="D470" t="s">
        <v>1069</v>
      </c>
      <c r="E470" t="s">
        <v>1070</v>
      </c>
      <c r="G470">
        <v>335842</v>
      </c>
      <c r="H470" t="s">
        <v>1071</v>
      </c>
      <c r="I470" t="s">
        <v>104</v>
      </c>
      <c r="J470" s="5">
        <v>781011500436</v>
      </c>
      <c r="K470">
        <v>30101504</v>
      </c>
      <c r="L470" t="s">
        <v>1070</v>
      </c>
      <c r="M470">
        <v>253241</v>
      </c>
      <c r="N470" t="s">
        <v>1072</v>
      </c>
      <c r="O470" t="s">
        <v>48</v>
      </c>
      <c r="Q470" t="s">
        <v>86</v>
      </c>
      <c r="R470" s="9">
        <v>0.98435022460102795</v>
      </c>
      <c r="S470" s="9">
        <v>91.7175112300514</v>
      </c>
      <c r="T470" s="9">
        <v>93.7175112300514</v>
      </c>
      <c r="U470" s="8">
        <v>100</v>
      </c>
      <c r="V470" t="s">
        <v>104</v>
      </c>
      <c r="W470" s="8">
        <v>98.459149999999994</v>
      </c>
      <c r="X470">
        <v>30101504</v>
      </c>
      <c r="Y470" s="9">
        <v>87.519244444444396</v>
      </c>
      <c r="Z470">
        <v>30101504</v>
      </c>
      <c r="AA470" s="8">
        <v>98.459149999999994</v>
      </c>
      <c r="AB470" t="b">
        <f t="shared" si="7"/>
        <v>0</v>
      </c>
    </row>
    <row r="471" spans="1:28" x14ac:dyDescent="0.3">
      <c r="A471">
        <v>897506</v>
      </c>
      <c r="B471" t="s">
        <v>1369</v>
      </c>
      <c r="C471" t="s">
        <v>1167</v>
      </c>
      <c r="D471" t="s">
        <v>1370</v>
      </c>
      <c r="E471" t="s">
        <v>1371</v>
      </c>
      <c r="G471">
        <v>336623</v>
      </c>
      <c r="H471">
        <v>4621</v>
      </c>
      <c r="I471" t="s">
        <v>73</v>
      </c>
      <c r="J471" s="5">
        <v>783310260967</v>
      </c>
      <c r="K471">
        <v>15121502</v>
      </c>
      <c r="L471" t="s">
        <v>1371</v>
      </c>
      <c r="M471">
        <v>258985</v>
      </c>
      <c r="N471" t="s">
        <v>1372</v>
      </c>
      <c r="O471" t="s">
        <v>73</v>
      </c>
      <c r="Q471" t="s">
        <v>86</v>
      </c>
      <c r="R471" s="9">
        <v>0.97396221268029204</v>
      </c>
      <c r="S471" s="9">
        <v>71.198110634014597</v>
      </c>
      <c r="T471" s="9">
        <v>81.198110634014597</v>
      </c>
      <c r="U471" s="8">
        <v>100</v>
      </c>
      <c r="V471" t="s">
        <v>73</v>
      </c>
      <c r="W471" s="8">
        <v>97.462295999999995</v>
      </c>
      <c r="X471">
        <v>15121502</v>
      </c>
      <c r="Y471" s="8">
        <v>97.462295999999995</v>
      </c>
      <c r="Z471">
        <v>15121502</v>
      </c>
      <c r="AA471" s="9">
        <v>97.462295999999995</v>
      </c>
      <c r="AB471" t="b">
        <f t="shared" si="7"/>
        <v>0</v>
      </c>
    </row>
    <row r="472" spans="1:28" x14ac:dyDescent="0.3">
      <c r="A472">
        <v>897507</v>
      </c>
      <c r="B472" t="s">
        <v>1373</v>
      </c>
      <c r="C472" t="s">
        <v>1374</v>
      </c>
      <c r="D472" t="s">
        <v>1375</v>
      </c>
      <c r="E472" t="s">
        <v>1376</v>
      </c>
      <c r="AB472" t="b">
        <f t="shared" si="7"/>
        <v>0</v>
      </c>
    </row>
    <row r="473" spans="1:28" x14ac:dyDescent="0.3">
      <c r="A473">
        <v>897508</v>
      </c>
      <c r="B473" t="s">
        <v>1377</v>
      </c>
      <c r="C473" t="s">
        <v>1062</v>
      </c>
      <c r="D473" t="s">
        <v>1378</v>
      </c>
      <c r="E473" t="s">
        <v>1379</v>
      </c>
      <c r="G473">
        <v>340141</v>
      </c>
      <c r="H473" t="s">
        <v>1380</v>
      </c>
      <c r="I473" t="s">
        <v>578</v>
      </c>
      <c r="J473" s="6" t="s">
        <v>1381</v>
      </c>
      <c r="K473">
        <v>39121406</v>
      </c>
      <c r="L473" t="s">
        <v>1382</v>
      </c>
      <c r="M473">
        <v>262707</v>
      </c>
      <c r="N473" t="s">
        <v>1383</v>
      </c>
      <c r="O473" t="s">
        <v>578</v>
      </c>
      <c r="P473" t="s">
        <v>1062</v>
      </c>
      <c r="Q473" t="s">
        <v>40</v>
      </c>
      <c r="R473" s="9">
        <v>0.72768584092620503</v>
      </c>
      <c r="S473" s="9">
        <v>98.884292046310193</v>
      </c>
      <c r="T473" s="8">
        <v>100</v>
      </c>
      <c r="U473" s="9">
        <v>87.537168185241001</v>
      </c>
      <c r="V473" t="s">
        <v>578</v>
      </c>
      <c r="W473" s="8">
        <v>86.368390000000005</v>
      </c>
      <c r="X473">
        <v>39121406</v>
      </c>
      <c r="Y473" s="8">
        <v>86.368390000000005</v>
      </c>
      <c r="Z473">
        <v>39121406</v>
      </c>
      <c r="AA473" s="8">
        <v>86.368390000000005</v>
      </c>
      <c r="AB473" t="b">
        <f t="shared" si="7"/>
        <v>0</v>
      </c>
    </row>
    <row r="474" spans="1:28" x14ac:dyDescent="0.3">
      <c r="A474">
        <v>897509</v>
      </c>
      <c r="B474" t="s">
        <v>1384</v>
      </c>
      <c r="C474" t="s">
        <v>1113</v>
      </c>
      <c r="D474" t="s">
        <v>1385</v>
      </c>
      <c r="E474" t="s">
        <v>1386</v>
      </c>
      <c r="O474" t="s">
        <v>45</v>
      </c>
      <c r="P474" t="s">
        <v>42</v>
      </c>
      <c r="Q474" t="s">
        <v>40</v>
      </c>
      <c r="T474" s="8">
        <v>60</v>
      </c>
      <c r="X474">
        <v>39131717</v>
      </c>
      <c r="Y474" s="8">
        <v>78.428376</v>
      </c>
      <c r="Z474">
        <v>39131717</v>
      </c>
      <c r="AA474" s="8">
        <v>78.428376</v>
      </c>
      <c r="AB474" t="b">
        <f t="shared" si="7"/>
        <v>0</v>
      </c>
    </row>
    <row r="475" spans="1:28" x14ac:dyDescent="0.3">
      <c r="A475">
        <v>897510</v>
      </c>
      <c r="B475" t="s">
        <v>1387</v>
      </c>
      <c r="C475" t="s">
        <v>1102</v>
      </c>
      <c r="D475">
        <v>465</v>
      </c>
      <c r="E475" t="s">
        <v>1388</v>
      </c>
      <c r="O475" t="s">
        <v>45</v>
      </c>
      <c r="P475" t="s">
        <v>42</v>
      </c>
      <c r="Q475" t="s">
        <v>40</v>
      </c>
      <c r="T475" s="8">
        <v>60</v>
      </c>
      <c r="V475" t="s">
        <v>308</v>
      </c>
      <c r="W475" s="8">
        <v>85.251589999999993</v>
      </c>
      <c r="X475">
        <v>39131700</v>
      </c>
      <c r="Y475" s="9">
        <v>84.788969999999907</v>
      </c>
      <c r="Z475">
        <v>39131700</v>
      </c>
      <c r="AA475" s="9">
        <v>84.788969999999907</v>
      </c>
      <c r="AB475" t="b">
        <f t="shared" si="7"/>
        <v>0</v>
      </c>
    </row>
    <row r="476" spans="1:28" x14ac:dyDescent="0.3">
      <c r="A476">
        <v>897511</v>
      </c>
      <c r="B476" t="s">
        <v>1389</v>
      </c>
      <c r="C476" t="s">
        <v>1390</v>
      </c>
      <c r="D476" t="s">
        <v>1391</v>
      </c>
      <c r="O476" t="s">
        <v>38</v>
      </c>
      <c r="P476" t="s">
        <v>39</v>
      </c>
      <c r="Q476" t="s">
        <v>40</v>
      </c>
      <c r="T476" s="8">
        <v>60</v>
      </c>
      <c r="X476">
        <v>26121614</v>
      </c>
      <c r="Y476" s="8">
        <v>83.309709999999995</v>
      </c>
      <c r="Z476">
        <v>26121614</v>
      </c>
      <c r="AA476" s="8">
        <v>83.305769999999995</v>
      </c>
      <c r="AB476" t="b">
        <f t="shared" si="7"/>
        <v>0</v>
      </c>
    </row>
    <row r="477" spans="1:28" x14ac:dyDescent="0.3">
      <c r="A477">
        <v>897512</v>
      </c>
      <c r="B477" t="s">
        <v>1392</v>
      </c>
      <c r="C477" t="s">
        <v>1163</v>
      </c>
      <c r="D477" t="s">
        <v>1393</v>
      </c>
      <c r="E477" t="s">
        <v>1394</v>
      </c>
      <c r="X477">
        <v>39121701</v>
      </c>
      <c r="Y477" s="8">
        <v>78.622829999999993</v>
      </c>
      <c r="Z477">
        <v>39121701</v>
      </c>
      <c r="AA477" s="8">
        <v>78.622829999999993</v>
      </c>
      <c r="AB477" t="b">
        <f t="shared" si="7"/>
        <v>0</v>
      </c>
    </row>
    <row r="478" spans="1:28" x14ac:dyDescent="0.3">
      <c r="A478">
        <v>897513</v>
      </c>
      <c r="B478" t="s">
        <v>1395</v>
      </c>
      <c r="C478" t="s">
        <v>1131</v>
      </c>
      <c r="D478" t="s">
        <v>1396</v>
      </c>
      <c r="E478" t="s">
        <v>1397</v>
      </c>
      <c r="G478">
        <v>340337</v>
      </c>
      <c r="H478">
        <v>48892738</v>
      </c>
      <c r="I478" t="s">
        <v>164</v>
      </c>
      <c r="J478" s="6" t="s">
        <v>1398</v>
      </c>
      <c r="K478">
        <v>23241600</v>
      </c>
      <c r="L478" t="s">
        <v>1397</v>
      </c>
      <c r="M478">
        <v>264222</v>
      </c>
      <c r="N478" t="s">
        <v>1399</v>
      </c>
      <c r="O478" t="s">
        <v>164</v>
      </c>
      <c r="Q478" t="s">
        <v>86</v>
      </c>
      <c r="R478" s="8">
        <v>0.81707749487357095</v>
      </c>
      <c r="S478" s="9">
        <v>88.353874743678503</v>
      </c>
      <c r="T478" s="9">
        <v>88.353874743678503</v>
      </c>
      <c r="U478" s="9">
        <v>88.415498974714097</v>
      </c>
      <c r="V478" t="s">
        <v>164</v>
      </c>
      <c r="W478" s="9">
        <v>85.233069999999898</v>
      </c>
      <c r="X478">
        <v>27112800</v>
      </c>
      <c r="Y478" s="9">
        <v>51.052544399999903</v>
      </c>
      <c r="Z478">
        <v>27112800</v>
      </c>
      <c r="AA478" s="9">
        <v>51.052393799999997</v>
      </c>
      <c r="AB478" t="b">
        <f t="shared" si="7"/>
        <v>0</v>
      </c>
    </row>
    <row r="479" spans="1:28" x14ac:dyDescent="0.3">
      <c r="A479">
        <v>897514</v>
      </c>
      <c r="B479" t="s">
        <v>1400</v>
      </c>
      <c r="C479" t="s">
        <v>1131</v>
      </c>
      <c r="D479" t="s">
        <v>1401</v>
      </c>
      <c r="E479" t="s">
        <v>1402</v>
      </c>
      <c r="G479">
        <v>336636</v>
      </c>
      <c r="H479">
        <v>48892722</v>
      </c>
      <c r="I479" t="s">
        <v>164</v>
      </c>
      <c r="J479" s="6" t="s">
        <v>1403</v>
      </c>
      <c r="K479">
        <v>23241600</v>
      </c>
      <c r="L479" t="s">
        <v>1402</v>
      </c>
      <c r="M479">
        <v>264175</v>
      </c>
      <c r="N479" t="s">
        <v>1404</v>
      </c>
      <c r="O479" t="s">
        <v>164</v>
      </c>
      <c r="Q479" t="s">
        <v>86</v>
      </c>
      <c r="R479" s="9">
        <v>0.82399672476619901</v>
      </c>
      <c r="S479" s="9">
        <v>88.699836238309899</v>
      </c>
      <c r="T479" s="9">
        <v>88.699836238309899</v>
      </c>
      <c r="U479" s="9">
        <v>89.799344953239896</v>
      </c>
      <c r="V479" t="s">
        <v>164</v>
      </c>
      <c r="W479" s="9">
        <v>85.033779999999993</v>
      </c>
      <c r="X479">
        <v>23241600</v>
      </c>
      <c r="Y479" s="8">
        <v>51.020268000000002</v>
      </c>
      <c r="Z479">
        <v>23241600</v>
      </c>
      <c r="AA479" s="8">
        <v>51.020268000000002</v>
      </c>
      <c r="AB479" t="b">
        <f t="shared" si="7"/>
        <v>0</v>
      </c>
    </row>
    <row r="480" spans="1:28" x14ac:dyDescent="0.3">
      <c r="A480">
        <v>897515</v>
      </c>
      <c r="B480" t="s">
        <v>1405</v>
      </c>
      <c r="C480" t="s">
        <v>1131</v>
      </c>
      <c r="D480" t="s">
        <v>1406</v>
      </c>
      <c r="E480" t="s">
        <v>1407</v>
      </c>
      <c r="G480">
        <v>336637</v>
      </c>
      <c r="H480">
        <v>48892730</v>
      </c>
      <c r="I480" t="s">
        <v>164</v>
      </c>
      <c r="J480" s="6" t="s">
        <v>1408</v>
      </c>
      <c r="K480">
        <v>23241600</v>
      </c>
      <c r="L480" t="s">
        <v>1407</v>
      </c>
      <c r="M480">
        <v>263249</v>
      </c>
      <c r="N480" t="s">
        <v>1409</v>
      </c>
      <c r="O480" t="s">
        <v>164</v>
      </c>
      <c r="Q480" t="s">
        <v>86</v>
      </c>
      <c r="R480" s="9">
        <v>0.81020721863620804</v>
      </c>
      <c r="S480" s="9">
        <v>88.010360931810396</v>
      </c>
      <c r="T480" s="9">
        <v>88.010360931810396</v>
      </c>
      <c r="U480" s="9">
        <v>87.0414437272416</v>
      </c>
      <c r="X480">
        <v>23241600</v>
      </c>
      <c r="Y480" s="9">
        <v>67.596031999999994</v>
      </c>
      <c r="Z480">
        <v>23241600</v>
      </c>
      <c r="AA480" s="9">
        <v>67.596031999999994</v>
      </c>
      <c r="AB480" t="b">
        <f t="shared" si="7"/>
        <v>0</v>
      </c>
    </row>
    <row r="481" spans="1:28" x14ac:dyDescent="0.3">
      <c r="A481">
        <v>897516</v>
      </c>
      <c r="B481" t="s">
        <v>1410</v>
      </c>
      <c r="C481" t="s">
        <v>1223</v>
      </c>
      <c r="D481" t="s">
        <v>1411</v>
      </c>
      <c r="E481" t="s">
        <v>1412</v>
      </c>
      <c r="O481" t="s">
        <v>414</v>
      </c>
      <c r="P481" t="s">
        <v>1223</v>
      </c>
      <c r="Q481" t="s">
        <v>40</v>
      </c>
      <c r="T481" s="8">
        <v>60</v>
      </c>
      <c r="X481">
        <v>39121408</v>
      </c>
      <c r="Y481" s="9">
        <v>78.0296622222222</v>
      </c>
      <c r="Z481">
        <v>39121408</v>
      </c>
      <c r="AA481" s="9">
        <v>78.0296622222222</v>
      </c>
      <c r="AB481" t="b">
        <f t="shared" si="7"/>
        <v>0</v>
      </c>
    </row>
    <row r="482" spans="1:28" ht="43.2" x14ac:dyDescent="0.3">
      <c r="A482">
        <v>897520</v>
      </c>
      <c r="B482" s="2" t="s">
        <v>1413</v>
      </c>
      <c r="C482" t="s">
        <v>1414</v>
      </c>
      <c r="D482">
        <v>34790</v>
      </c>
      <c r="E482" t="s">
        <v>1415</v>
      </c>
      <c r="G482">
        <v>277229</v>
      </c>
      <c r="H482">
        <v>34790</v>
      </c>
      <c r="I482" t="s">
        <v>250</v>
      </c>
      <c r="J482" s="6" t="s">
        <v>1416</v>
      </c>
      <c r="K482">
        <v>27112800</v>
      </c>
      <c r="M482">
        <v>205185</v>
      </c>
      <c r="N482" t="s">
        <v>1417</v>
      </c>
      <c r="O482" t="s">
        <v>250</v>
      </c>
      <c r="Q482" t="s">
        <v>86</v>
      </c>
      <c r="R482" s="9">
        <v>0.339945555054111</v>
      </c>
      <c r="S482" s="9">
        <v>49.4972777527055</v>
      </c>
      <c r="T482" s="9">
        <v>55.4972777527055</v>
      </c>
      <c r="U482" s="8">
        <v>0</v>
      </c>
      <c r="AB482" t="b">
        <f t="shared" si="7"/>
        <v>0</v>
      </c>
    </row>
    <row r="483" spans="1:28" x14ac:dyDescent="0.3">
      <c r="A483">
        <v>897521</v>
      </c>
      <c r="B483" t="s">
        <v>1418</v>
      </c>
      <c r="C483" t="s">
        <v>207</v>
      </c>
      <c r="D483" t="s">
        <v>1419</v>
      </c>
      <c r="E483" t="s">
        <v>1420</v>
      </c>
      <c r="G483">
        <v>341177</v>
      </c>
      <c r="H483" t="s">
        <v>1421</v>
      </c>
      <c r="I483" t="s">
        <v>631</v>
      </c>
      <c r="J483" s="6" t="s">
        <v>1422</v>
      </c>
      <c r="K483">
        <v>39121703</v>
      </c>
      <c r="L483" t="s">
        <v>1420</v>
      </c>
      <c r="M483">
        <v>265566</v>
      </c>
      <c r="N483" t="s">
        <v>1423</v>
      </c>
      <c r="O483" t="s">
        <v>631</v>
      </c>
      <c r="Q483" t="s">
        <v>86</v>
      </c>
      <c r="R483" s="9">
        <v>0.95541162711364502</v>
      </c>
      <c r="S483" s="8">
        <v>100</v>
      </c>
      <c r="T483" s="9">
        <v>98.270581355682197</v>
      </c>
      <c r="U483" s="8">
        <v>100</v>
      </c>
      <c r="V483" t="s">
        <v>631</v>
      </c>
      <c r="W483" s="9">
        <v>95.731489999999894</v>
      </c>
      <c r="X483">
        <v>39121703</v>
      </c>
      <c r="Y483" s="9">
        <v>95.731489999999894</v>
      </c>
      <c r="Z483">
        <v>39121703</v>
      </c>
      <c r="AA483" s="8">
        <v>95.731604000000004</v>
      </c>
      <c r="AB483" t="b">
        <f t="shared" si="7"/>
        <v>0</v>
      </c>
    </row>
    <row r="484" spans="1:28" ht="43.2" x14ac:dyDescent="0.3">
      <c r="A484">
        <v>897522</v>
      </c>
      <c r="B484" s="2" t="s">
        <v>1424</v>
      </c>
      <c r="C484" t="s">
        <v>1102</v>
      </c>
      <c r="D484" t="s">
        <v>1425</v>
      </c>
      <c r="E484" t="s">
        <v>1426</v>
      </c>
      <c r="X484">
        <v>39131700</v>
      </c>
      <c r="Y484" s="8">
        <v>65.249018399999997</v>
      </c>
      <c r="Z484">
        <v>39131700</v>
      </c>
      <c r="AA484" s="8">
        <v>65.249018399999997</v>
      </c>
      <c r="AB484" t="b">
        <f t="shared" si="7"/>
        <v>0</v>
      </c>
    </row>
    <row r="485" spans="1:28" x14ac:dyDescent="0.3">
      <c r="A485">
        <v>897523</v>
      </c>
      <c r="B485" t="s">
        <v>1427</v>
      </c>
      <c r="C485" t="s">
        <v>1428</v>
      </c>
      <c r="D485" t="s">
        <v>1429</v>
      </c>
      <c r="X485">
        <v>39111500</v>
      </c>
      <c r="Y485" s="8">
        <v>60.428344000000003</v>
      </c>
      <c r="Z485">
        <v>39111500</v>
      </c>
      <c r="AA485" s="8">
        <v>60.428344000000003</v>
      </c>
      <c r="AB485" t="b">
        <f t="shared" si="7"/>
        <v>0</v>
      </c>
    </row>
    <row r="486" spans="1:28" x14ac:dyDescent="0.3">
      <c r="A486">
        <v>897525</v>
      </c>
      <c r="B486" t="s">
        <v>1430</v>
      </c>
      <c r="C486" t="s">
        <v>1330</v>
      </c>
      <c r="D486" t="s">
        <v>1431</v>
      </c>
      <c r="E486" t="s">
        <v>1432</v>
      </c>
      <c r="O486" t="s">
        <v>1433</v>
      </c>
      <c r="P486" t="s">
        <v>1433</v>
      </c>
      <c r="Q486" t="s">
        <v>51</v>
      </c>
      <c r="T486" s="8">
        <v>50</v>
      </c>
      <c r="X486">
        <v>39111500</v>
      </c>
      <c r="Y486" s="8">
        <v>77.05498</v>
      </c>
      <c r="Z486">
        <v>39111500</v>
      </c>
      <c r="AA486" s="8">
        <v>77.05498</v>
      </c>
      <c r="AB486" t="b">
        <f t="shared" si="7"/>
        <v>0</v>
      </c>
    </row>
    <row r="487" spans="1:28" x14ac:dyDescent="0.3">
      <c r="A487">
        <v>897526</v>
      </c>
      <c r="B487" t="s">
        <v>1434</v>
      </c>
      <c r="C487" t="s">
        <v>1330</v>
      </c>
      <c r="D487" t="s">
        <v>1435</v>
      </c>
      <c r="E487" t="s">
        <v>1436</v>
      </c>
      <c r="O487" t="s">
        <v>1433</v>
      </c>
      <c r="P487" t="s">
        <v>1433</v>
      </c>
      <c r="Q487" t="s">
        <v>51</v>
      </c>
      <c r="T487" s="8">
        <v>50</v>
      </c>
      <c r="X487">
        <v>39111544</v>
      </c>
      <c r="Y487" s="9">
        <v>54.659593333333298</v>
      </c>
      <c r="Z487">
        <v>39111544</v>
      </c>
      <c r="AA487" s="9">
        <v>54.661750666666599</v>
      </c>
      <c r="AB487" t="b">
        <f t="shared" si="7"/>
        <v>0</v>
      </c>
    </row>
    <row r="488" spans="1:28" x14ac:dyDescent="0.3">
      <c r="A488">
        <v>897527</v>
      </c>
      <c r="B488" t="s">
        <v>1437</v>
      </c>
      <c r="C488" t="s">
        <v>1062</v>
      </c>
      <c r="D488" t="s">
        <v>1438</v>
      </c>
      <c r="E488" t="s">
        <v>1439</v>
      </c>
      <c r="O488" t="s">
        <v>578</v>
      </c>
      <c r="P488" t="s">
        <v>1062</v>
      </c>
      <c r="Q488" t="s">
        <v>40</v>
      </c>
      <c r="T488" s="8">
        <v>60</v>
      </c>
      <c r="X488">
        <v>39120000</v>
      </c>
      <c r="Y488" s="8">
        <v>46.369410000000002</v>
      </c>
      <c r="Z488">
        <v>39120000</v>
      </c>
      <c r="AA488" s="8">
        <v>46.369410000000002</v>
      </c>
      <c r="AB488" t="b">
        <f t="shared" si="7"/>
        <v>0</v>
      </c>
    </row>
    <row r="489" spans="1:28" x14ac:dyDescent="0.3">
      <c r="A489">
        <v>897528</v>
      </c>
      <c r="B489" t="s">
        <v>1440</v>
      </c>
      <c r="C489" t="s">
        <v>1167</v>
      </c>
      <c r="D489" t="s">
        <v>1441</v>
      </c>
      <c r="E489" t="s">
        <v>1442</v>
      </c>
      <c r="X489">
        <v>27112800</v>
      </c>
      <c r="Y489" s="8">
        <v>69.830151111111107</v>
      </c>
      <c r="Z489">
        <v>27112800</v>
      </c>
      <c r="AA489" s="8">
        <v>69.830151111111107</v>
      </c>
      <c r="AB489" t="b">
        <f t="shared" si="7"/>
        <v>0</v>
      </c>
    </row>
    <row r="490" spans="1:28" x14ac:dyDescent="0.3">
      <c r="A490">
        <v>897529</v>
      </c>
      <c r="B490" t="s">
        <v>1443</v>
      </c>
      <c r="C490" t="s">
        <v>1444</v>
      </c>
      <c r="D490" t="s">
        <v>1445</v>
      </c>
      <c r="AB490" t="b">
        <f t="shared" si="7"/>
        <v>0</v>
      </c>
    </row>
    <row r="491" spans="1:28" x14ac:dyDescent="0.3">
      <c r="A491">
        <v>897530</v>
      </c>
      <c r="B491" t="s">
        <v>1446</v>
      </c>
      <c r="C491" t="s">
        <v>1444</v>
      </c>
      <c r="D491" t="s">
        <v>1447</v>
      </c>
      <c r="AB491" t="b">
        <f t="shared" si="7"/>
        <v>0</v>
      </c>
    </row>
    <row r="492" spans="1:28" x14ac:dyDescent="0.3">
      <c r="A492">
        <v>897531</v>
      </c>
      <c r="B492" t="s">
        <v>1448</v>
      </c>
      <c r="C492" t="s">
        <v>1444</v>
      </c>
      <c r="D492" t="s">
        <v>1449</v>
      </c>
      <c r="AB492" t="b">
        <f t="shared" si="7"/>
        <v>0</v>
      </c>
    </row>
    <row r="493" spans="1:28" x14ac:dyDescent="0.3">
      <c r="A493">
        <v>897532</v>
      </c>
      <c r="B493" t="s">
        <v>1450</v>
      </c>
      <c r="C493" t="s">
        <v>1082</v>
      </c>
      <c r="D493" t="s">
        <v>1451</v>
      </c>
      <c r="E493" t="s">
        <v>1452</v>
      </c>
      <c r="G493">
        <v>336729</v>
      </c>
      <c r="H493" t="s">
        <v>1451</v>
      </c>
      <c r="I493" t="s">
        <v>343</v>
      </c>
      <c r="J493" s="5">
        <v>783510548902</v>
      </c>
      <c r="K493">
        <v>39121332</v>
      </c>
      <c r="L493" t="s">
        <v>1452</v>
      </c>
      <c r="M493">
        <v>259401</v>
      </c>
      <c r="N493" t="s">
        <v>1450</v>
      </c>
      <c r="O493" t="s">
        <v>343</v>
      </c>
      <c r="Q493" t="s">
        <v>86</v>
      </c>
      <c r="R493" s="9">
        <v>0.99955512187054196</v>
      </c>
      <c r="S493" s="9">
        <v>97.477756093527105</v>
      </c>
      <c r="T493" s="9">
        <v>97.477756093527105</v>
      </c>
      <c r="U493" s="8">
        <v>100</v>
      </c>
      <c r="V493" t="s">
        <v>343</v>
      </c>
      <c r="W493" s="9">
        <v>99.955529999999996</v>
      </c>
      <c r="X493">
        <v>39121324</v>
      </c>
      <c r="Y493" s="8">
        <v>98.531705000000002</v>
      </c>
      <c r="Z493">
        <v>39121324</v>
      </c>
      <c r="AA493" s="8">
        <v>98.531705000000002</v>
      </c>
      <c r="AB493" t="b">
        <f t="shared" si="7"/>
        <v>0</v>
      </c>
    </row>
    <row r="494" spans="1:28" x14ac:dyDescent="0.3">
      <c r="A494">
        <v>897533</v>
      </c>
      <c r="B494" t="s">
        <v>1453</v>
      </c>
      <c r="C494" t="s">
        <v>42</v>
      </c>
      <c r="D494" t="s">
        <v>1454</v>
      </c>
      <c r="O494" t="s">
        <v>45</v>
      </c>
      <c r="P494" t="s">
        <v>42</v>
      </c>
      <c r="Q494" t="s">
        <v>40</v>
      </c>
      <c r="T494" s="8">
        <v>60</v>
      </c>
      <c r="X494">
        <v>39121434</v>
      </c>
      <c r="Y494" s="9">
        <v>51.690433333333303</v>
      </c>
      <c r="Z494">
        <v>39121434</v>
      </c>
      <c r="AA494" s="9">
        <v>51.690433333333303</v>
      </c>
      <c r="AB494" t="b">
        <f t="shared" si="7"/>
        <v>0</v>
      </c>
    </row>
    <row r="495" spans="1:28" x14ac:dyDescent="0.3">
      <c r="A495">
        <v>897534</v>
      </c>
      <c r="B495" t="s">
        <v>1455</v>
      </c>
      <c r="C495" t="s">
        <v>1082</v>
      </c>
      <c r="D495" t="s">
        <v>1456</v>
      </c>
      <c r="E495" t="s">
        <v>1457</v>
      </c>
      <c r="G495">
        <v>337698</v>
      </c>
      <c r="H495" t="s">
        <v>1456</v>
      </c>
      <c r="I495" t="s">
        <v>343</v>
      </c>
      <c r="J495" s="5">
        <v>783510548407</v>
      </c>
      <c r="K495">
        <v>39121300</v>
      </c>
      <c r="L495" t="s">
        <v>1457</v>
      </c>
      <c r="M495">
        <v>259405</v>
      </c>
      <c r="N495" t="s">
        <v>1455</v>
      </c>
      <c r="O495" t="s">
        <v>343</v>
      </c>
      <c r="Q495" t="s">
        <v>86</v>
      </c>
      <c r="R495" s="8">
        <v>0.99999908717880603</v>
      </c>
      <c r="S495" s="9">
        <v>22.0828477876384</v>
      </c>
      <c r="T495" s="9">
        <v>20.670315915242099</v>
      </c>
      <c r="U495" s="8">
        <v>100</v>
      </c>
      <c r="V495" t="s">
        <v>343</v>
      </c>
      <c r="W495" s="9">
        <v>99.999904999999899</v>
      </c>
      <c r="X495">
        <v>39121300</v>
      </c>
      <c r="Y495" s="9">
        <v>99.999904999999899</v>
      </c>
      <c r="Z495">
        <v>39121300</v>
      </c>
      <c r="AA495" s="8">
        <v>99.999904999999998</v>
      </c>
      <c r="AB495" t="b">
        <f t="shared" si="7"/>
        <v>0</v>
      </c>
    </row>
    <row r="496" spans="1:28" x14ac:dyDescent="0.3">
      <c r="A496">
        <v>897535</v>
      </c>
      <c r="B496" t="s">
        <v>1458</v>
      </c>
      <c r="C496" t="s">
        <v>42</v>
      </c>
      <c r="D496" t="s">
        <v>1459</v>
      </c>
      <c r="O496" t="s">
        <v>45</v>
      </c>
      <c r="P496" t="s">
        <v>42</v>
      </c>
      <c r="Q496" t="s">
        <v>40</v>
      </c>
      <c r="T496" s="8">
        <v>60</v>
      </c>
      <c r="X496">
        <v>39131700</v>
      </c>
      <c r="Y496" s="8">
        <v>47.802509999999998</v>
      </c>
      <c r="Z496">
        <v>39131700</v>
      </c>
      <c r="AA496" s="8">
        <v>47.802509999999998</v>
      </c>
      <c r="AB496" t="b">
        <f t="shared" si="7"/>
        <v>0</v>
      </c>
    </row>
    <row r="497" spans="1:28" x14ac:dyDescent="0.3">
      <c r="A497">
        <v>897537</v>
      </c>
      <c r="B497" t="s">
        <v>1460</v>
      </c>
      <c r="C497" t="s">
        <v>1102</v>
      </c>
      <c r="D497" t="s">
        <v>1461</v>
      </c>
      <c r="E497" t="s">
        <v>1462</v>
      </c>
      <c r="X497">
        <v>39121321</v>
      </c>
      <c r="Y497" s="9">
        <v>84.002709999999993</v>
      </c>
      <c r="Z497">
        <v>39121321</v>
      </c>
      <c r="AA497" s="9">
        <v>84.002709999999993</v>
      </c>
      <c r="AB497" t="b">
        <f t="shared" si="7"/>
        <v>0</v>
      </c>
    </row>
    <row r="498" spans="1:28" x14ac:dyDescent="0.3">
      <c r="A498">
        <v>897538</v>
      </c>
      <c r="B498" t="s">
        <v>1463</v>
      </c>
      <c r="C498" t="s">
        <v>1102</v>
      </c>
      <c r="D498" t="s">
        <v>748</v>
      </c>
      <c r="E498" t="s">
        <v>749</v>
      </c>
      <c r="G498">
        <v>336381</v>
      </c>
      <c r="H498" t="s">
        <v>748</v>
      </c>
      <c r="I498" t="s">
        <v>308</v>
      </c>
      <c r="J498" s="5">
        <v>786189104035</v>
      </c>
      <c r="K498">
        <v>39121308</v>
      </c>
      <c r="L498" t="s">
        <v>749</v>
      </c>
      <c r="M498">
        <v>256184</v>
      </c>
      <c r="N498" t="s">
        <v>1464</v>
      </c>
      <c r="O498" t="s">
        <v>308</v>
      </c>
      <c r="Q498" t="s">
        <v>86</v>
      </c>
      <c r="R498" s="9">
        <v>0.86489859304556505</v>
      </c>
      <c r="S498" s="9">
        <v>80.744929652278202</v>
      </c>
      <c r="T498" s="9">
        <v>84.744929652278202</v>
      </c>
      <c r="U498" s="9">
        <v>91.979718609112993</v>
      </c>
      <c r="V498" t="s">
        <v>308</v>
      </c>
      <c r="W498" s="8">
        <v>88.543840000000003</v>
      </c>
      <c r="X498">
        <v>39121308</v>
      </c>
      <c r="Y498" s="8">
        <v>88.543840000000003</v>
      </c>
      <c r="Z498">
        <v>39121308</v>
      </c>
      <c r="AA498" s="8">
        <v>88.543840000000003</v>
      </c>
      <c r="AB498" t="b">
        <f t="shared" si="7"/>
        <v>0</v>
      </c>
    </row>
    <row r="499" spans="1:28" x14ac:dyDescent="0.3">
      <c r="A499">
        <v>897539</v>
      </c>
      <c r="B499" t="s">
        <v>1465</v>
      </c>
      <c r="C499" t="s">
        <v>1054</v>
      </c>
      <c r="D499" t="s">
        <v>1466</v>
      </c>
      <c r="E499" t="s">
        <v>1467</v>
      </c>
      <c r="G499">
        <v>335874</v>
      </c>
      <c r="H499" t="s">
        <v>1468</v>
      </c>
      <c r="I499" t="s">
        <v>104</v>
      </c>
      <c r="J499" s="5">
        <v>781011028985</v>
      </c>
      <c r="K499">
        <v>39121321</v>
      </c>
      <c r="L499" t="s">
        <v>1467</v>
      </c>
      <c r="M499">
        <v>253328</v>
      </c>
      <c r="N499" t="s">
        <v>1469</v>
      </c>
      <c r="O499" t="s">
        <v>48</v>
      </c>
      <c r="Q499" t="s">
        <v>86</v>
      </c>
      <c r="R499" s="9">
        <v>0.93052172961188295</v>
      </c>
      <c r="S499" s="9">
        <v>84.026086480594103</v>
      </c>
      <c r="T499" s="9">
        <v>88.026086480594103</v>
      </c>
      <c r="U499" s="8">
        <v>100</v>
      </c>
      <c r="V499" t="s">
        <v>104</v>
      </c>
      <c r="W499" s="8">
        <v>93.503559999999993</v>
      </c>
      <c r="X499">
        <v>39121321</v>
      </c>
      <c r="Y499" s="9">
        <v>83.114275555555494</v>
      </c>
      <c r="Z499">
        <v>39121321</v>
      </c>
      <c r="AA499" s="9">
        <v>83.114275555555494</v>
      </c>
      <c r="AB499" t="b">
        <f t="shared" si="7"/>
        <v>0</v>
      </c>
    </row>
    <row r="500" spans="1:28" x14ac:dyDescent="0.3">
      <c r="A500">
        <v>897540</v>
      </c>
      <c r="B500" t="s">
        <v>1470</v>
      </c>
      <c r="C500" t="s">
        <v>1102</v>
      </c>
      <c r="D500" t="s">
        <v>1471</v>
      </c>
      <c r="E500" t="s">
        <v>1472</v>
      </c>
      <c r="G500">
        <v>337892</v>
      </c>
      <c r="H500" t="s">
        <v>1471</v>
      </c>
      <c r="I500" t="s">
        <v>308</v>
      </c>
      <c r="J500" s="5">
        <v>786189105001</v>
      </c>
      <c r="K500">
        <v>39121321</v>
      </c>
      <c r="L500" t="s">
        <v>1472</v>
      </c>
      <c r="M500">
        <v>256455</v>
      </c>
      <c r="N500" t="s">
        <v>1473</v>
      </c>
      <c r="O500" t="s">
        <v>308</v>
      </c>
      <c r="Q500" t="s">
        <v>86</v>
      </c>
      <c r="R500" s="9">
        <v>0.97688610965611899</v>
      </c>
      <c r="S500" s="9">
        <v>86.344305482805893</v>
      </c>
      <c r="T500" s="9">
        <v>90.344305482805893</v>
      </c>
      <c r="U500" s="8">
        <v>100</v>
      </c>
      <c r="V500" t="s">
        <v>308</v>
      </c>
      <c r="W500" s="8">
        <v>97.740847000000002</v>
      </c>
      <c r="X500">
        <v>39121321</v>
      </c>
      <c r="Y500" s="8">
        <v>97.740847000000002</v>
      </c>
      <c r="Z500">
        <v>39121321</v>
      </c>
      <c r="AA500" s="8">
        <v>97.740847000000002</v>
      </c>
      <c r="AB500" t="b">
        <f t="shared" si="7"/>
        <v>0</v>
      </c>
    </row>
    <row r="501" spans="1:28" x14ac:dyDescent="0.3">
      <c r="A501">
        <v>897541</v>
      </c>
      <c r="B501" t="s">
        <v>1474</v>
      </c>
      <c r="C501" t="s">
        <v>1102</v>
      </c>
      <c r="D501" t="s">
        <v>1475</v>
      </c>
      <c r="E501" t="s">
        <v>1476</v>
      </c>
      <c r="V501" t="s">
        <v>308</v>
      </c>
      <c r="W501" s="9">
        <v>96.033069999999896</v>
      </c>
      <c r="X501">
        <v>39121321</v>
      </c>
      <c r="Y501" s="8">
        <v>96.033069999999995</v>
      </c>
      <c r="Z501">
        <v>39121321</v>
      </c>
      <c r="AA501" s="9">
        <v>96.032613999999995</v>
      </c>
      <c r="AB501" t="b">
        <f t="shared" si="7"/>
        <v>0</v>
      </c>
    </row>
    <row r="502" spans="1:28" x14ac:dyDescent="0.3">
      <c r="A502">
        <v>897542</v>
      </c>
      <c r="B502" t="s">
        <v>1477</v>
      </c>
      <c r="C502" t="s">
        <v>1102</v>
      </c>
      <c r="D502" t="s">
        <v>752</v>
      </c>
      <c r="E502" t="s">
        <v>753</v>
      </c>
      <c r="G502">
        <v>336383</v>
      </c>
      <c r="H502" t="s">
        <v>752</v>
      </c>
      <c r="I502" t="s">
        <v>308</v>
      </c>
      <c r="J502" s="5">
        <v>786189104721</v>
      </c>
      <c r="K502">
        <v>39121304</v>
      </c>
      <c r="L502" t="s">
        <v>753</v>
      </c>
      <c r="M502">
        <v>256437</v>
      </c>
      <c r="N502" t="s">
        <v>1477</v>
      </c>
      <c r="O502" t="s">
        <v>308</v>
      </c>
      <c r="Q502" t="s">
        <v>86</v>
      </c>
      <c r="R502" s="9">
        <v>0.99999895439610098</v>
      </c>
      <c r="S502" s="9">
        <v>87.499947719804993</v>
      </c>
      <c r="T502" s="9">
        <v>91.499947719804993</v>
      </c>
      <c r="U502" s="8">
        <v>100</v>
      </c>
      <c r="V502" t="s">
        <v>308</v>
      </c>
      <c r="W502" s="9">
        <v>99.999904999999899</v>
      </c>
      <c r="X502">
        <v>39121304</v>
      </c>
      <c r="Y502" s="9">
        <v>99.999904999999899</v>
      </c>
      <c r="Z502">
        <v>39121304</v>
      </c>
      <c r="AA502" s="8">
        <v>99.999904999999998</v>
      </c>
      <c r="AB502" t="b">
        <f t="shared" si="7"/>
        <v>0</v>
      </c>
    </row>
    <row r="503" spans="1:28" x14ac:dyDescent="0.3">
      <c r="A503">
        <v>897543</v>
      </c>
      <c r="B503" t="s">
        <v>1478</v>
      </c>
      <c r="C503" t="s">
        <v>42</v>
      </c>
      <c r="D503" t="s">
        <v>1479</v>
      </c>
      <c r="O503" t="s">
        <v>45</v>
      </c>
      <c r="P503" t="s">
        <v>42</v>
      </c>
      <c r="Q503" t="s">
        <v>40</v>
      </c>
      <c r="T503" s="8">
        <v>60</v>
      </c>
      <c r="X503">
        <v>39121400</v>
      </c>
      <c r="Y503" s="9">
        <v>58.548438749999903</v>
      </c>
      <c r="Z503">
        <v>39121400</v>
      </c>
      <c r="AA503" s="9">
        <v>58.548438749999903</v>
      </c>
      <c r="AB503" t="b">
        <f t="shared" si="7"/>
        <v>0</v>
      </c>
    </row>
    <row r="504" spans="1:28" x14ac:dyDescent="0.3">
      <c r="A504">
        <v>897544</v>
      </c>
      <c r="B504" t="s">
        <v>1480</v>
      </c>
      <c r="D504" t="s">
        <v>1481</v>
      </c>
      <c r="G504">
        <v>87472</v>
      </c>
      <c r="H504" t="s">
        <v>1482</v>
      </c>
      <c r="I504" t="s">
        <v>343</v>
      </c>
      <c r="J504" s="5">
        <v>783510610708</v>
      </c>
      <c r="K504">
        <v>39121324</v>
      </c>
      <c r="M504">
        <v>126351</v>
      </c>
      <c r="N504" t="s">
        <v>1483</v>
      </c>
      <c r="O504" t="s">
        <v>343</v>
      </c>
      <c r="Q504" t="s">
        <v>86</v>
      </c>
      <c r="R504" s="9">
        <v>0.55299491747478402</v>
      </c>
      <c r="S504" s="9">
        <v>85.149745873739207</v>
      </c>
      <c r="T504" s="9">
        <v>81.149745873739207</v>
      </c>
      <c r="U504" s="9">
        <v>41.598983494956897</v>
      </c>
      <c r="AB504" t="b">
        <f t="shared" si="7"/>
        <v>0</v>
      </c>
    </row>
    <row r="505" spans="1:28" x14ac:dyDescent="0.3">
      <c r="A505">
        <v>897545</v>
      </c>
      <c r="B505" t="s">
        <v>1484</v>
      </c>
      <c r="C505" t="s">
        <v>1390</v>
      </c>
      <c r="D505" t="s">
        <v>1485</v>
      </c>
      <c r="E505" t="s">
        <v>1486</v>
      </c>
      <c r="X505">
        <v>26121614</v>
      </c>
      <c r="Y505" s="9">
        <v>72.339066666666596</v>
      </c>
      <c r="Z505">
        <v>26121614</v>
      </c>
      <c r="AA505" s="9">
        <v>72.340248888888794</v>
      </c>
      <c r="AB505" t="b">
        <f t="shared" si="7"/>
        <v>0</v>
      </c>
    </row>
    <row r="506" spans="1:28" x14ac:dyDescent="0.3">
      <c r="A506">
        <v>897546</v>
      </c>
      <c r="B506" t="s">
        <v>1487</v>
      </c>
      <c r="C506" t="s">
        <v>1163</v>
      </c>
      <c r="D506" t="s">
        <v>1488</v>
      </c>
      <c r="E506" t="s">
        <v>1489</v>
      </c>
      <c r="X506">
        <v>39121431</v>
      </c>
      <c r="Y506" s="8">
        <v>76.964872999999997</v>
      </c>
      <c r="Z506">
        <v>39121431</v>
      </c>
      <c r="AA506" s="8">
        <v>76.964872999999997</v>
      </c>
      <c r="AB506" t="b">
        <f t="shared" si="7"/>
        <v>0</v>
      </c>
    </row>
    <row r="507" spans="1:28" x14ac:dyDescent="0.3">
      <c r="A507">
        <v>897547</v>
      </c>
      <c r="B507" t="s">
        <v>1490</v>
      </c>
      <c r="C507" t="s">
        <v>1192</v>
      </c>
      <c r="D507" t="s">
        <v>1491</v>
      </c>
      <c r="E507" t="s">
        <v>696</v>
      </c>
      <c r="O507" t="s">
        <v>144</v>
      </c>
      <c r="P507" t="s">
        <v>1192</v>
      </c>
      <c r="Q507" t="s">
        <v>40</v>
      </c>
      <c r="T507" s="8">
        <v>60</v>
      </c>
      <c r="X507">
        <v>31201502</v>
      </c>
      <c r="Y507" s="8">
        <v>77.646649999999994</v>
      </c>
      <c r="Z507">
        <v>31201502</v>
      </c>
      <c r="AA507" s="8">
        <v>77.646326999999999</v>
      </c>
      <c r="AB507" t="b">
        <f t="shared" si="7"/>
        <v>0</v>
      </c>
    </row>
    <row r="508" spans="1:28" x14ac:dyDescent="0.3">
      <c r="A508">
        <v>897548</v>
      </c>
      <c r="B508" t="s">
        <v>1492</v>
      </c>
      <c r="C508" t="s">
        <v>1493</v>
      </c>
      <c r="D508" t="s">
        <v>1494</v>
      </c>
      <c r="AB508" t="b">
        <f t="shared" si="7"/>
        <v>0</v>
      </c>
    </row>
    <row r="509" spans="1:28" x14ac:dyDescent="0.3">
      <c r="A509">
        <v>897553</v>
      </c>
      <c r="B509" t="s">
        <v>1495</v>
      </c>
      <c r="C509" t="s">
        <v>1184</v>
      </c>
      <c r="D509" t="s">
        <v>1496</v>
      </c>
      <c r="E509" t="s">
        <v>1497</v>
      </c>
      <c r="X509">
        <v>39121600</v>
      </c>
      <c r="Y509" s="8">
        <v>81.344130000000007</v>
      </c>
      <c r="Z509">
        <v>39121600</v>
      </c>
      <c r="AA509" s="8">
        <v>81.344130000000007</v>
      </c>
      <c r="AB509" t="b">
        <f t="shared" si="7"/>
        <v>0</v>
      </c>
    </row>
    <row r="510" spans="1:28" x14ac:dyDescent="0.3">
      <c r="A510">
        <v>897554</v>
      </c>
      <c r="B510" t="s">
        <v>1498</v>
      </c>
      <c r="C510" t="s">
        <v>1082</v>
      </c>
      <c r="D510" t="s">
        <v>1499</v>
      </c>
      <c r="E510" t="s">
        <v>1500</v>
      </c>
      <c r="G510">
        <v>336737</v>
      </c>
      <c r="H510" t="s">
        <v>1499</v>
      </c>
      <c r="I510" t="s">
        <v>343</v>
      </c>
      <c r="J510" s="5">
        <v>783510282509</v>
      </c>
      <c r="K510">
        <v>39121324</v>
      </c>
      <c r="L510" t="s">
        <v>1500</v>
      </c>
      <c r="M510">
        <v>259445</v>
      </c>
      <c r="N510" t="s">
        <v>1498</v>
      </c>
      <c r="O510" t="s">
        <v>343</v>
      </c>
      <c r="Q510" t="s">
        <v>86</v>
      </c>
      <c r="R510" s="9">
        <v>0.99999891654888495</v>
      </c>
      <c r="S510" s="8">
        <v>100</v>
      </c>
      <c r="T510" s="8">
        <v>100</v>
      </c>
      <c r="U510" s="8">
        <v>100</v>
      </c>
      <c r="V510" t="s">
        <v>343</v>
      </c>
      <c r="W510" s="9">
        <v>99.999904999999899</v>
      </c>
      <c r="X510">
        <v>39121324</v>
      </c>
      <c r="Y510" s="9">
        <v>99.999904999999899</v>
      </c>
      <c r="Z510">
        <v>39121324</v>
      </c>
      <c r="AA510" s="8">
        <v>99.999904999999998</v>
      </c>
      <c r="AB510" t="b">
        <f t="shared" si="7"/>
        <v>0</v>
      </c>
    </row>
    <row r="511" spans="1:28" x14ac:dyDescent="0.3">
      <c r="A511">
        <v>897555</v>
      </c>
      <c r="B511" t="s">
        <v>1501</v>
      </c>
      <c r="C511" t="s">
        <v>1082</v>
      </c>
      <c r="D511" t="s">
        <v>1502</v>
      </c>
      <c r="E511" t="s">
        <v>1503</v>
      </c>
      <c r="G511">
        <v>336740</v>
      </c>
      <c r="H511" t="s">
        <v>1502</v>
      </c>
      <c r="I511" t="s">
        <v>343</v>
      </c>
      <c r="J511" s="5">
        <v>783510232207</v>
      </c>
      <c r="K511">
        <v>39121300</v>
      </c>
      <c r="L511" t="s">
        <v>1503</v>
      </c>
      <c r="M511">
        <v>259451</v>
      </c>
      <c r="N511" t="s">
        <v>1501</v>
      </c>
      <c r="O511" t="s">
        <v>343</v>
      </c>
      <c r="Q511" t="s">
        <v>86</v>
      </c>
      <c r="R511" s="8">
        <v>0.99999909067245896</v>
      </c>
      <c r="S511" s="9">
        <v>26.577774567064601</v>
      </c>
      <c r="T511" s="9">
        <v>25.2624303440851</v>
      </c>
      <c r="U511" s="8">
        <v>100</v>
      </c>
      <c r="V511" t="s">
        <v>343</v>
      </c>
      <c r="W511" s="9">
        <v>99.999929999999907</v>
      </c>
      <c r="X511">
        <v>39121300</v>
      </c>
      <c r="Y511" s="9">
        <v>99.999929999999907</v>
      </c>
      <c r="Z511">
        <v>39121300</v>
      </c>
      <c r="AA511" s="8">
        <v>99.999930000000006</v>
      </c>
      <c r="AB511" t="b">
        <f t="shared" si="7"/>
        <v>0</v>
      </c>
    </row>
    <row r="512" spans="1:28" x14ac:dyDescent="0.3">
      <c r="A512">
        <v>897556</v>
      </c>
      <c r="B512" t="s">
        <v>1504</v>
      </c>
      <c r="C512" t="s">
        <v>1152</v>
      </c>
      <c r="D512" t="s">
        <v>1505</v>
      </c>
      <c r="E512" t="s">
        <v>1506</v>
      </c>
      <c r="O512" t="s">
        <v>656</v>
      </c>
      <c r="P512" t="s">
        <v>1152</v>
      </c>
      <c r="Q512" t="s">
        <v>40</v>
      </c>
      <c r="T512" s="8">
        <v>60</v>
      </c>
      <c r="X512">
        <v>40101604</v>
      </c>
      <c r="Y512" s="8">
        <v>78.243476000000001</v>
      </c>
      <c r="Z512">
        <v>40101604</v>
      </c>
      <c r="AA512" s="8">
        <v>78.240602999999993</v>
      </c>
      <c r="AB512" t="b">
        <f t="shared" si="7"/>
        <v>0</v>
      </c>
    </row>
    <row r="513" spans="1:28" x14ac:dyDescent="0.3">
      <c r="A513">
        <v>897557</v>
      </c>
      <c r="B513" t="s">
        <v>1507</v>
      </c>
      <c r="C513" t="s">
        <v>1508</v>
      </c>
      <c r="D513" t="s">
        <v>1509</v>
      </c>
      <c r="E513" t="s">
        <v>1510</v>
      </c>
      <c r="AB513" t="b">
        <f t="shared" si="7"/>
        <v>0</v>
      </c>
    </row>
    <row r="514" spans="1:28" x14ac:dyDescent="0.3">
      <c r="A514">
        <v>897558</v>
      </c>
      <c r="B514" t="s">
        <v>1511</v>
      </c>
      <c r="C514" t="s">
        <v>1152</v>
      </c>
      <c r="D514" t="s">
        <v>1512</v>
      </c>
      <c r="E514" t="s">
        <v>1513</v>
      </c>
      <c r="O514" t="s">
        <v>656</v>
      </c>
      <c r="P514" t="s">
        <v>1152</v>
      </c>
      <c r="Q514" t="s">
        <v>40</v>
      </c>
      <c r="T514" s="8">
        <v>60</v>
      </c>
      <c r="X514">
        <v>40101600</v>
      </c>
      <c r="Y514" s="8">
        <v>77.130156999999997</v>
      </c>
      <c r="Z514">
        <v>40101600</v>
      </c>
      <c r="AA514" s="8">
        <v>77.133960000000002</v>
      </c>
      <c r="AB514" t="b">
        <f t="shared" si="7"/>
        <v>0</v>
      </c>
    </row>
    <row r="515" spans="1:28" x14ac:dyDescent="0.3">
      <c r="A515">
        <v>897559</v>
      </c>
      <c r="B515" t="s">
        <v>1514</v>
      </c>
      <c r="C515" t="s">
        <v>1152</v>
      </c>
      <c r="D515" t="s">
        <v>1515</v>
      </c>
      <c r="E515" t="s">
        <v>1516</v>
      </c>
      <c r="O515" t="s">
        <v>656</v>
      </c>
      <c r="P515" t="s">
        <v>1152</v>
      </c>
      <c r="Q515" t="s">
        <v>40</v>
      </c>
      <c r="T515" s="8">
        <v>60</v>
      </c>
      <c r="AB515" t="b">
        <f t="shared" ref="AB515:AB578" si="8">(AA515-Y515)&lt;-1</f>
        <v>0</v>
      </c>
    </row>
    <row r="516" spans="1:28" x14ac:dyDescent="0.3">
      <c r="A516">
        <v>897560</v>
      </c>
      <c r="B516" t="s">
        <v>1517</v>
      </c>
      <c r="C516" t="s">
        <v>1152</v>
      </c>
      <c r="D516" t="s">
        <v>1518</v>
      </c>
      <c r="E516" t="s">
        <v>1519</v>
      </c>
      <c r="O516" t="s">
        <v>656</v>
      </c>
      <c r="P516" t="s">
        <v>1152</v>
      </c>
      <c r="Q516" t="s">
        <v>40</v>
      </c>
      <c r="T516" s="8">
        <v>60</v>
      </c>
      <c r="AB516" t="b">
        <f t="shared" si="8"/>
        <v>0</v>
      </c>
    </row>
    <row r="517" spans="1:28" x14ac:dyDescent="0.3">
      <c r="A517">
        <v>897561</v>
      </c>
      <c r="B517" t="s">
        <v>1520</v>
      </c>
      <c r="C517" t="s">
        <v>1152</v>
      </c>
      <c r="D517" t="s">
        <v>1521</v>
      </c>
      <c r="E517" t="s">
        <v>1522</v>
      </c>
      <c r="O517" t="s">
        <v>656</v>
      </c>
      <c r="P517" t="s">
        <v>1152</v>
      </c>
      <c r="Q517" t="s">
        <v>40</v>
      </c>
      <c r="T517" s="8">
        <v>60</v>
      </c>
      <c r="AB517" t="b">
        <f t="shared" si="8"/>
        <v>0</v>
      </c>
    </row>
    <row r="518" spans="1:28" x14ac:dyDescent="0.3">
      <c r="A518">
        <v>897562</v>
      </c>
      <c r="B518" t="s">
        <v>1523</v>
      </c>
      <c r="C518" t="s">
        <v>1152</v>
      </c>
      <c r="D518" t="s">
        <v>1524</v>
      </c>
      <c r="E518" t="s">
        <v>1525</v>
      </c>
      <c r="O518" t="s">
        <v>656</v>
      </c>
      <c r="P518" t="s">
        <v>1152</v>
      </c>
      <c r="Q518" t="s">
        <v>40</v>
      </c>
      <c r="T518" s="8">
        <v>60</v>
      </c>
      <c r="X518">
        <v>39122221</v>
      </c>
      <c r="Y518" s="8">
        <v>79.320769999999996</v>
      </c>
      <c r="Z518">
        <v>39122221</v>
      </c>
      <c r="AA518" s="8">
        <v>79.320769999999996</v>
      </c>
      <c r="AB518" t="b">
        <f t="shared" si="8"/>
        <v>0</v>
      </c>
    </row>
    <row r="519" spans="1:28" x14ac:dyDescent="0.3">
      <c r="A519">
        <v>897563</v>
      </c>
      <c r="B519" t="s">
        <v>1526</v>
      </c>
      <c r="C519" t="s">
        <v>1152</v>
      </c>
      <c r="D519" t="s">
        <v>1527</v>
      </c>
      <c r="E519" t="s">
        <v>1528</v>
      </c>
      <c r="O519" t="s">
        <v>656</v>
      </c>
      <c r="P519" t="s">
        <v>1152</v>
      </c>
      <c r="Q519" t="s">
        <v>40</v>
      </c>
      <c r="T519" s="8">
        <v>60</v>
      </c>
      <c r="X519">
        <v>39121100</v>
      </c>
      <c r="Y519" s="9">
        <v>57.550759499999899</v>
      </c>
      <c r="Z519">
        <v>39121100</v>
      </c>
      <c r="AA519" s="9">
        <v>57.550759499999899</v>
      </c>
      <c r="AB519" t="b">
        <f t="shared" si="8"/>
        <v>0</v>
      </c>
    </row>
    <row r="520" spans="1:28" x14ac:dyDescent="0.3">
      <c r="A520">
        <v>897564</v>
      </c>
      <c r="B520" t="s">
        <v>1529</v>
      </c>
      <c r="C520" t="s">
        <v>1102</v>
      </c>
      <c r="D520" t="s">
        <v>1530</v>
      </c>
      <c r="E520" t="s">
        <v>1531</v>
      </c>
      <c r="G520">
        <v>337972</v>
      </c>
      <c r="H520" t="s">
        <v>1530</v>
      </c>
      <c r="I520" t="s">
        <v>308</v>
      </c>
      <c r="J520" s="5">
        <v>786189072921</v>
      </c>
      <c r="K520">
        <v>39121304</v>
      </c>
      <c r="L520" t="s">
        <v>1531</v>
      </c>
      <c r="M520">
        <v>256532</v>
      </c>
      <c r="N520" t="s">
        <v>1532</v>
      </c>
      <c r="O520" t="s">
        <v>308</v>
      </c>
      <c r="Q520" t="s">
        <v>86</v>
      </c>
      <c r="R520" s="9">
        <v>0.91889884959659796</v>
      </c>
      <c r="S520" s="8">
        <v>88.444942479829905</v>
      </c>
      <c r="T520" s="8">
        <v>90.444942479829905</v>
      </c>
      <c r="U520" s="8">
        <v>100</v>
      </c>
      <c r="V520" t="s">
        <v>308</v>
      </c>
      <c r="W520" s="8">
        <v>92.498289999999997</v>
      </c>
      <c r="X520">
        <v>39121304</v>
      </c>
      <c r="Y520" s="8">
        <v>92.498289999999997</v>
      </c>
      <c r="Z520">
        <v>39121304</v>
      </c>
      <c r="AA520" s="9">
        <v>91.755022999999994</v>
      </c>
      <c r="AB520" t="b">
        <f t="shared" si="8"/>
        <v>0</v>
      </c>
    </row>
    <row r="521" spans="1:28" x14ac:dyDescent="0.3">
      <c r="A521">
        <v>897565</v>
      </c>
      <c r="B521" t="s">
        <v>1533</v>
      </c>
      <c r="C521" t="s">
        <v>1152</v>
      </c>
      <c r="D521" t="s">
        <v>1534</v>
      </c>
      <c r="E521" t="s">
        <v>1535</v>
      </c>
      <c r="O521" t="s">
        <v>656</v>
      </c>
      <c r="P521" t="s">
        <v>1152</v>
      </c>
      <c r="Q521" t="s">
        <v>40</v>
      </c>
      <c r="T521" s="8">
        <v>60</v>
      </c>
      <c r="X521">
        <v>39121100</v>
      </c>
      <c r="Y521" s="8">
        <v>76.668660000000003</v>
      </c>
      <c r="Z521">
        <v>39121100</v>
      </c>
      <c r="AA521" s="8">
        <v>76.704323000000002</v>
      </c>
      <c r="AB521" t="b">
        <f t="shared" si="8"/>
        <v>0</v>
      </c>
    </row>
    <row r="522" spans="1:28" x14ac:dyDescent="0.3">
      <c r="A522">
        <v>897566</v>
      </c>
      <c r="B522" t="s">
        <v>1536</v>
      </c>
      <c r="C522" t="s">
        <v>1062</v>
      </c>
      <c r="D522">
        <v>84014</v>
      </c>
      <c r="E522" t="s">
        <v>1537</v>
      </c>
      <c r="G522">
        <v>336214</v>
      </c>
      <c r="H522">
        <v>84014</v>
      </c>
      <c r="I522" t="s">
        <v>578</v>
      </c>
      <c r="J522" s="6" t="s">
        <v>1538</v>
      </c>
      <c r="K522">
        <v>39121704</v>
      </c>
      <c r="L522" t="s">
        <v>1537</v>
      </c>
      <c r="M522">
        <v>262596</v>
      </c>
      <c r="N522" t="s">
        <v>1536</v>
      </c>
      <c r="O522" t="s">
        <v>578</v>
      </c>
      <c r="P522" t="s">
        <v>1062</v>
      </c>
      <c r="Q522" t="s">
        <v>40</v>
      </c>
      <c r="R522" s="9">
        <v>0.99999905791167498</v>
      </c>
      <c r="S522" s="8">
        <v>100</v>
      </c>
      <c r="T522" s="8">
        <v>100</v>
      </c>
      <c r="U522" s="8">
        <v>100</v>
      </c>
      <c r="V522" t="s">
        <v>578</v>
      </c>
      <c r="W522" s="9">
        <v>99.999929999999907</v>
      </c>
      <c r="X522">
        <v>39121704</v>
      </c>
      <c r="Y522" s="9">
        <v>99.999929999999907</v>
      </c>
      <c r="Z522">
        <v>39121704</v>
      </c>
      <c r="AA522" s="8">
        <v>99.999930000000006</v>
      </c>
      <c r="AB522" t="b">
        <f t="shared" si="8"/>
        <v>0</v>
      </c>
    </row>
    <row r="523" spans="1:28" x14ac:dyDescent="0.3">
      <c r="A523">
        <v>897567</v>
      </c>
      <c r="B523" t="s">
        <v>1539</v>
      </c>
      <c r="C523" t="s">
        <v>1152</v>
      </c>
      <c r="D523" t="s">
        <v>1540</v>
      </c>
      <c r="O523" t="s">
        <v>656</v>
      </c>
      <c r="P523" t="s">
        <v>1152</v>
      </c>
      <c r="Q523" t="s">
        <v>40</v>
      </c>
      <c r="T523" s="8">
        <v>60</v>
      </c>
      <c r="AB523" t="b">
        <f t="shared" si="8"/>
        <v>0</v>
      </c>
    </row>
    <row r="524" spans="1:28" x14ac:dyDescent="0.3">
      <c r="A524">
        <v>897568</v>
      </c>
      <c r="B524" t="s">
        <v>1283</v>
      </c>
      <c r="C524" t="s">
        <v>1104</v>
      </c>
      <c r="D524" t="s">
        <v>1284</v>
      </c>
      <c r="E524" t="s">
        <v>1288</v>
      </c>
      <c r="O524" t="s">
        <v>1001</v>
      </c>
      <c r="P524" t="s">
        <v>1001</v>
      </c>
      <c r="Q524" t="s">
        <v>40</v>
      </c>
      <c r="T524" s="8">
        <v>60</v>
      </c>
      <c r="V524" t="s">
        <v>321</v>
      </c>
      <c r="W524" s="9">
        <v>88.1557999999999</v>
      </c>
      <c r="X524">
        <v>31162100</v>
      </c>
      <c r="Y524" s="9">
        <v>78.304391111111102</v>
      </c>
      <c r="Z524">
        <v>31162100</v>
      </c>
      <c r="AA524" s="9">
        <v>78.304391111111102</v>
      </c>
      <c r="AB524" t="b">
        <f t="shared" si="8"/>
        <v>0</v>
      </c>
    </row>
    <row r="525" spans="1:28" x14ac:dyDescent="0.3">
      <c r="A525">
        <v>897569</v>
      </c>
      <c r="B525" t="s">
        <v>1541</v>
      </c>
      <c r="C525" t="s">
        <v>1152</v>
      </c>
      <c r="D525" t="s">
        <v>1542</v>
      </c>
      <c r="E525" t="s">
        <v>1543</v>
      </c>
      <c r="O525" t="s">
        <v>656</v>
      </c>
      <c r="P525" t="s">
        <v>1152</v>
      </c>
      <c r="Q525" t="s">
        <v>40</v>
      </c>
      <c r="T525" s="8">
        <v>60</v>
      </c>
      <c r="X525">
        <v>39122200</v>
      </c>
      <c r="Y525" s="8">
        <v>46.866982200000002</v>
      </c>
      <c r="Z525">
        <v>39122200</v>
      </c>
      <c r="AA525" s="8">
        <v>46.866982200000002</v>
      </c>
      <c r="AB525" t="b">
        <f t="shared" si="8"/>
        <v>0</v>
      </c>
    </row>
    <row r="526" spans="1:28" x14ac:dyDescent="0.3">
      <c r="A526">
        <v>897570</v>
      </c>
      <c r="B526" t="s">
        <v>1544</v>
      </c>
      <c r="C526" t="s">
        <v>1117</v>
      </c>
      <c r="D526" t="s">
        <v>1545</v>
      </c>
      <c r="E526" t="s">
        <v>1546</v>
      </c>
      <c r="O526" t="s">
        <v>45</v>
      </c>
      <c r="P526" t="s">
        <v>1272</v>
      </c>
      <c r="Q526" t="s">
        <v>40</v>
      </c>
      <c r="T526" s="8">
        <v>70</v>
      </c>
      <c r="X526">
        <v>39121400</v>
      </c>
      <c r="Y526" s="8">
        <v>72.558397714285704</v>
      </c>
      <c r="Z526">
        <v>39121400</v>
      </c>
      <c r="AA526" s="8">
        <v>72.558397714285704</v>
      </c>
      <c r="AB526" t="b">
        <f t="shared" si="8"/>
        <v>0</v>
      </c>
    </row>
    <row r="527" spans="1:28" x14ac:dyDescent="0.3">
      <c r="A527">
        <v>897571</v>
      </c>
      <c r="B527" t="s">
        <v>1547</v>
      </c>
      <c r="C527" t="s">
        <v>1152</v>
      </c>
      <c r="D527" t="s">
        <v>1548</v>
      </c>
      <c r="E527" t="s">
        <v>1549</v>
      </c>
      <c r="O527" t="s">
        <v>656</v>
      </c>
      <c r="P527" t="s">
        <v>1152</v>
      </c>
      <c r="Q527" t="s">
        <v>40</v>
      </c>
      <c r="T527" s="8">
        <v>60</v>
      </c>
      <c r="AB527" t="b">
        <f t="shared" si="8"/>
        <v>0</v>
      </c>
    </row>
    <row r="528" spans="1:28" x14ac:dyDescent="0.3">
      <c r="A528">
        <v>897572</v>
      </c>
      <c r="B528" t="s">
        <v>1550</v>
      </c>
      <c r="C528" t="s">
        <v>1152</v>
      </c>
      <c r="D528" t="s">
        <v>1551</v>
      </c>
      <c r="E528" t="s">
        <v>1552</v>
      </c>
      <c r="O528" t="s">
        <v>656</v>
      </c>
      <c r="P528" t="s">
        <v>1152</v>
      </c>
      <c r="Q528" t="s">
        <v>40</v>
      </c>
      <c r="T528" s="8">
        <v>60</v>
      </c>
      <c r="X528">
        <v>39122200</v>
      </c>
      <c r="Y528" s="9">
        <v>65.122256571428494</v>
      </c>
      <c r="Z528">
        <v>39122200</v>
      </c>
      <c r="AA528" s="9">
        <v>65.122256571428494</v>
      </c>
      <c r="AB528" t="b">
        <f t="shared" si="8"/>
        <v>0</v>
      </c>
    </row>
    <row r="529" spans="1:28" x14ac:dyDescent="0.3">
      <c r="A529">
        <v>897573</v>
      </c>
      <c r="B529" t="s">
        <v>1553</v>
      </c>
      <c r="C529" t="s">
        <v>1152</v>
      </c>
      <c r="D529" t="s">
        <v>1554</v>
      </c>
      <c r="E529" t="s">
        <v>1555</v>
      </c>
      <c r="O529" t="s">
        <v>656</v>
      </c>
      <c r="P529" t="s">
        <v>1152</v>
      </c>
      <c r="Q529" t="s">
        <v>40</v>
      </c>
      <c r="T529" s="8">
        <v>60</v>
      </c>
      <c r="AB529" t="b">
        <f t="shared" si="8"/>
        <v>0</v>
      </c>
    </row>
    <row r="530" spans="1:28" x14ac:dyDescent="0.3">
      <c r="A530">
        <v>897574</v>
      </c>
      <c r="B530" t="s">
        <v>1556</v>
      </c>
      <c r="C530" t="s">
        <v>1184</v>
      </c>
      <c r="D530" t="s">
        <v>1557</v>
      </c>
      <c r="E530" t="s">
        <v>1558</v>
      </c>
      <c r="X530">
        <v>39121606</v>
      </c>
      <c r="Y530" s="8">
        <v>80.725639999999999</v>
      </c>
      <c r="Z530">
        <v>39121606</v>
      </c>
      <c r="AA530" s="8">
        <v>80.725639999999999</v>
      </c>
      <c r="AB530" t="b">
        <f t="shared" si="8"/>
        <v>0</v>
      </c>
    </row>
    <row r="531" spans="1:28" x14ac:dyDescent="0.3">
      <c r="A531">
        <v>897575</v>
      </c>
      <c r="B531" t="s">
        <v>1559</v>
      </c>
      <c r="C531" t="s">
        <v>1184</v>
      </c>
      <c r="D531" t="s">
        <v>1560</v>
      </c>
      <c r="E531" t="s">
        <v>1561</v>
      </c>
      <c r="X531">
        <v>39121606</v>
      </c>
      <c r="Y531" s="8">
        <v>81.405479999999997</v>
      </c>
      <c r="Z531">
        <v>39121606</v>
      </c>
      <c r="AA531" s="8">
        <v>81.40325</v>
      </c>
      <c r="AB531" t="b">
        <f t="shared" si="8"/>
        <v>0</v>
      </c>
    </row>
    <row r="532" spans="1:28" x14ac:dyDescent="0.3">
      <c r="A532">
        <v>897576</v>
      </c>
      <c r="B532" t="s">
        <v>1562</v>
      </c>
      <c r="C532" t="s">
        <v>1184</v>
      </c>
      <c r="D532" t="s">
        <v>1563</v>
      </c>
      <c r="X532">
        <v>39121606</v>
      </c>
      <c r="Y532" s="9">
        <v>84.090589999999906</v>
      </c>
      <c r="Z532">
        <v>39121606</v>
      </c>
      <c r="AA532" s="9">
        <v>84.090589999999906</v>
      </c>
      <c r="AB532" t="b">
        <f t="shared" si="8"/>
        <v>0</v>
      </c>
    </row>
    <row r="533" spans="1:28" x14ac:dyDescent="0.3">
      <c r="A533">
        <v>897577</v>
      </c>
      <c r="B533" t="s">
        <v>1564</v>
      </c>
      <c r="C533" t="s">
        <v>1152</v>
      </c>
      <c r="D533" t="s">
        <v>1565</v>
      </c>
      <c r="E533" t="s">
        <v>1566</v>
      </c>
      <c r="O533" t="s">
        <v>656</v>
      </c>
      <c r="P533" t="s">
        <v>1152</v>
      </c>
      <c r="Q533" t="s">
        <v>40</v>
      </c>
      <c r="T533" s="8">
        <v>60</v>
      </c>
      <c r="AB533" t="b">
        <f t="shared" si="8"/>
        <v>0</v>
      </c>
    </row>
    <row r="534" spans="1:28" x14ac:dyDescent="0.3">
      <c r="A534">
        <v>897578</v>
      </c>
      <c r="B534" t="s">
        <v>1567</v>
      </c>
      <c r="C534" t="s">
        <v>1152</v>
      </c>
      <c r="D534" t="s">
        <v>1568</v>
      </c>
      <c r="E534" t="s">
        <v>1569</v>
      </c>
      <c r="O534" t="s">
        <v>656</v>
      </c>
      <c r="P534" t="s">
        <v>1152</v>
      </c>
      <c r="Q534" t="s">
        <v>40</v>
      </c>
      <c r="T534" s="8">
        <v>60</v>
      </c>
      <c r="X534">
        <v>39121613</v>
      </c>
      <c r="Y534" s="8">
        <v>69.239680000000007</v>
      </c>
      <c r="Z534">
        <v>39121613</v>
      </c>
      <c r="AA534" s="8">
        <v>69.239680000000007</v>
      </c>
      <c r="AB534" t="b">
        <f t="shared" si="8"/>
        <v>0</v>
      </c>
    </row>
    <row r="535" spans="1:28" x14ac:dyDescent="0.3">
      <c r="A535">
        <v>897579</v>
      </c>
      <c r="B535" t="s">
        <v>1570</v>
      </c>
      <c r="C535" t="s">
        <v>1152</v>
      </c>
      <c r="D535" t="s">
        <v>1571</v>
      </c>
      <c r="O535" t="s">
        <v>656</v>
      </c>
      <c r="P535" t="s">
        <v>1152</v>
      </c>
      <c r="Q535" t="s">
        <v>40</v>
      </c>
      <c r="T535" s="8">
        <v>60</v>
      </c>
      <c r="X535">
        <v>39121410</v>
      </c>
      <c r="Y535" s="8">
        <v>77.877539999999996</v>
      </c>
      <c r="Z535">
        <v>39121410</v>
      </c>
      <c r="AA535" s="8">
        <v>77.877539999999996</v>
      </c>
      <c r="AB535" t="b">
        <f t="shared" si="8"/>
        <v>0</v>
      </c>
    </row>
    <row r="536" spans="1:28" x14ac:dyDescent="0.3">
      <c r="A536">
        <v>897580</v>
      </c>
      <c r="B536" t="s">
        <v>1572</v>
      </c>
      <c r="C536" t="s">
        <v>1184</v>
      </c>
      <c r="D536" t="s">
        <v>1573</v>
      </c>
      <c r="X536">
        <v>39121604</v>
      </c>
      <c r="Y536" s="8">
        <v>81.644976</v>
      </c>
      <c r="Z536">
        <v>39121604</v>
      </c>
      <c r="AA536" s="8">
        <v>81.662360000000007</v>
      </c>
      <c r="AB536" t="b">
        <f t="shared" si="8"/>
        <v>0</v>
      </c>
    </row>
    <row r="537" spans="1:28" x14ac:dyDescent="0.3">
      <c r="A537">
        <v>897581</v>
      </c>
      <c r="B537" t="s">
        <v>1574</v>
      </c>
      <c r="C537" t="s">
        <v>1184</v>
      </c>
      <c r="D537" t="s">
        <v>1575</v>
      </c>
      <c r="X537">
        <v>39121604</v>
      </c>
      <c r="Y537" s="8">
        <v>81.428929999999994</v>
      </c>
      <c r="Z537">
        <v>39121604</v>
      </c>
      <c r="AA537" s="8">
        <v>81.428929999999994</v>
      </c>
      <c r="AB537" t="b">
        <f t="shared" si="8"/>
        <v>0</v>
      </c>
    </row>
    <row r="538" spans="1:28" x14ac:dyDescent="0.3">
      <c r="A538">
        <v>897582</v>
      </c>
      <c r="B538" t="s">
        <v>1576</v>
      </c>
      <c r="C538" t="s">
        <v>1152</v>
      </c>
      <c r="D538" t="s">
        <v>1577</v>
      </c>
      <c r="E538" t="s">
        <v>1578</v>
      </c>
      <c r="O538" t="s">
        <v>656</v>
      </c>
      <c r="P538" t="s">
        <v>1152</v>
      </c>
      <c r="Q538" t="s">
        <v>40</v>
      </c>
      <c r="T538" s="8">
        <v>60</v>
      </c>
      <c r="X538">
        <v>39121613</v>
      </c>
      <c r="Y538" s="8">
        <v>57.945937499999999</v>
      </c>
      <c r="Z538">
        <v>39121613</v>
      </c>
      <c r="AA538" s="8">
        <v>57.945937499999999</v>
      </c>
      <c r="AB538" t="b">
        <f t="shared" si="8"/>
        <v>0</v>
      </c>
    </row>
    <row r="539" spans="1:28" x14ac:dyDescent="0.3">
      <c r="A539">
        <v>897583</v>
      </c>
      <c r="B539" t="s">
        <v>1579</v>
      </c>
      <c r="C539" t="s">
        <v>1102</v>
      </c>
      <c r="D539" t="s">
        <v>1580</v>
      </c>
      <c r="E539" t="s">
        <v>1581</v>
      </c>
      <c r="G539">
        <v>337869</v>
      </c>
      <c r="H539" t="s">
        <v>1580</v>
      </c>
      <c r="I539" t="s">
        <v>308</v>
      </c>
      <c r="J539" s="5">
        <v>786189104042</v>
      </c>
      <c r="K539">
        <v>39121308</v>
      </c>
      <c r="L539" t="s">
        <v>1581</v>
      </c>
      <c r="M539">
        <v>256425</v>
      </c>
      <c r="N539" t="s">
        <v>1582</v>
      </c>
      <c r="O539" t="s">
        <v>308</v>
      </c>
      <c r="Q539" t="s">
        <v>86</v>
      </c>
      <c r="R539" s="9">
        <v>0.83627497802587702</v>
      </c>
      <c r="S539" s="9">
        <v>79.313748901293806</v>
      </c>
      <c r="T539" s="9">
        <v>83.313748901293806</v>
      </c>
      <c r="U539" s="9">
        <v>86.254995605175395</v>
      </c>
      <c r="V539" t="s">
        <v>308</v>
      </c>
      <c r="W539" s="8">
        <v>88.846844000000004</v>
      </c>
      <c r="X539">
        <v>39121308</v>
      </c>
      <c r="Y539" s="8">
        <v>88.846844000000004</v>
      </c>
      <c r="Z539">
        <v>39121308</v>
      </c>
      <c r="AA539" s="9">
        <v>88.847612999999996</v>
      </c>
      <c r="AB539" t="b">
        <f t="shared" si="8"/>
        <v>0</v>
      </c>
    </row>
    <row r="540" spans="1:28" x14ac:dyDescent="0.3">
      <c r="A540">
        <v>897584</v>
      </c>
      <c r="B540" t="s">
        <v>1583</v>
      </c>
      <c r="C540" t="s">
        <v>1102</v>
      </c>
      <c r="D540" t="s">
        <v>1584</v>
      </c>
      <c r="E540" t="s">
        <v>1585</v>
      </c>
      <c r="G540">
        <v>336384</v>
      </c>
      <c r="H540" t="s">
        <v>1584</v>
      </c>
      <c r="I540" t="s">
        <v>308</v>
      </c>
      <c r="J540" s="5">
        <v>786189104806</v>
      </c>
      <c r="K540">
        <v>39121321</v>
      </c>
      <c r="L540" t="s">
        <v>1585</v>
      </c>
      <c r="M540">
        <v>256444</v>
      </c>
      <c r="N540" t="s">
        <v>1583</v>
      </c>
      <c r="O540" t="s">
        <v>308</v>
      </c>
      <c r="Q540" t="s">
        <v>86</v>
      </c>
      <c r="R540" s="9">
        <v>0.99998736615301398</v>
      </c>
      <c r="S540" s="9">
        <v>87.499368307650698</v>
      </c>
      <c r="T540" s="9">
        <v>91.499368307650698</v>
      </c>
      <c r="U540" s="8">
        <v>100</v>
      </c>
      <c r="V540" t="s">
        <v>308</v>
      </c>
      <c r="W540" s="9">
        <v>99.998735999999994</v>
      </c>
      <c r="X540">
        <v>39121321</v>
      </c>
      <c r="Y540" s="9">
        <v>99.998735999999994</v>
      </c>
      <c r="Z540">
        <v>39121321</v>
      </c>
      <c r="AA540" s="8">
        <v>99.998735999999994</v>
      </c>
      <c r="AB540" t="b">
        <f t="shared" si="8"/>
        <v>0</v>
      </c>
    </row>
    <row r="541" spans="1:28" x14ac:dyDescent="0.3">
      <c r="A541">
        <v>897585</v>
      </c>
      <c r="B541" t="s">
        <v>1477</v>
      </c>
      <c r="C541" t="s">
        <v>1102</v>
      </c>
      <c r="D541" t="s">
        <v>752</v>
      </c>
      <c r="E541" t="s">
        <v>753</v>
      </c>
      <c r="G541">
        <v>336383</v>
      </c>
      <c r="H541" t="s">
        <v>752</v>
      </c>
      <c r="I541" t="s">
        <v>308</v>
      </c>
      <c r="J541" s="5">
        <v>786189104721</v>
      </c>
      <c r="K541">
        <v>39121304</v>
      </c>
      <c r="L541" t="s">
        <v>753</v>
      </c>
      <c r="M541">
        <v>256437</v>
      </c>
      <c r="N541" t="s">
        <v>1477</v>
      </c>
      <c r="O541" t="s">
        <v>308</v>
      </c>
      <c r="Q541" t="s">
        <v>86</v>
      </c>
      <c r="R541" s="9">
        <v>0.99999895439610098</v>
      </c>
      <c r="S541" s="9">
        <v>87.499947719804993</v>
      </c>
      <c r="T541" s="9">
        <v>91.499947719804993</v>
      </c>
      <c r="U541" s="8">
        <v>100</v>
      </c>
      <c r="V541" t="s">
        <v>308</v>
      </c>
      <c r="W541" s="9">
        <v>99.999904999999899</v>
      </c>
      <c r="X541">
        <v>39121304</v>
      </c>
      <c r="Y541" s="9">
        <v>99.999904999999899</v>
      </c>
      <c r="Z541">
        <v>39121304</v>
      </c>
      <c r="AA541" s="8">
        <v>99.999904999999998</v>
      </c>
      <c r="AB541" t="b">
        <f t="shared" si="8"/>
        <v>0</v>
      </c>
    </row>
    <row r="542" spans="1:28" x14ac:dyDescent="0.3">
      <c r="A542">
        <v>897587</v>
      </c>
      <c r="B542" t="s">
        <v>1586</v>
      </c>
      <c r="C542" t="s">
        <v>1587</v>
      </c>
      <c r="D542" t="s">
        <v>1588</v>
      </c>
      <c r="E542" t="s">
        <v>1589</v>
      </c>
      <c r="X542">
        <v>39131717</v>
      </c>
      <c r="Y542" s="8">
        <v>79.591334000000003</v>
      </c>
      <c r="Z542">
        <v>39131717</v>
      </c>
      <c r="AA542" s="8">
        <v>79.591334000000003</v>
      </c>
      <c r="AB542" t="b">
        <f t="shared" si="8"/>
        <v>0</v>
      </c>
    </row>
    <row r="543" spans="1:28" x14ac:dyDescent="0.3">
      <c r="A543">
        <v>897588</v>
      </c>
      <c r="B543" t="s">
        <v>1590</v>
      </c>
      <c r="C543" t="s">
        <v>1587</v>
      </c>
      <c r="D543" t="s">
        <v>1591</v>
      </c>
      <c r="E543" t="s">
        <v>1592</v>
      </c>
      <c r="X543">
        <v>39131717</v>
      </c>
      <c r="Y543" s="8">
        <v>78.648269999999997</v>
      </c>
      <c r="Z543">
        <v>39131717</v>
      </c>
      <c r="AA543" s="8">
        <v>78.649383999999998</v>
      </c>
      <c r="AB543" t="b">
        <f t="shared" si="8"/>
        <v>0</v>
      </c>
    </row>
    <row r="544" spans="1:28" x14ac:dyDescent="0.3">
      <c r="A544">
        <v>897589</v>
      </c>
      <c r="B544" t="s">
        <v>1593</v>
      </c>
      <c r="C544" t="s">
        <v>207</v>
      </c>
      <c r="D544" t="s">
        <v>1594</v>
      </c>
      <c r="E544" t="s">
        <v>1595</v>
      </c>
      <c r="G544">
        <v>313092</v>
      </c>
      <c r="H544" t="s">
        <v>1596</v>
      </c>
      <c r="I544" t="s">
        <v>631</v>
      </c>
      <c r="J544" s="6" t="s">
        <v>1597</v>
      </c>
      <c r="K544">
        <v>40183006</v>
      </c>
      <c r="M544">
        <v>6092</v>
      </c>
      <c r="N544" t="s">
        <v>1598</v>
      </c>
      <c r="O544" t="s">
        <v>631</v>
      </c>
      <c r="Q544" t="s">
        <v>86</v>
      </c>
      <c r="R544" s="9">
        <v>0.80088806407305502</v>
      </c>
      <c r="S544" s="9">
        <v>97.544403203652706</v>
      </c>
      <c r="T544" s="9">
        <v>93.544403203652706</v>
      </c>
      <c r="U544" s="9">
        <v>91.177612814610995</v>
      </c>
      <c r="V544" t="s">
        <v>631</v>
      </c>
      <c r="W544" s="9">
        <v>93.184244999999905</v>
      </c>
      <c r="X544">
        <v>39121723</v>
      </c>
      <c r="Y544" s="8">
        <v>68.111500800000002</v>
      </c>
      <c r="Z544">
        <v>39121723</v>
      </c>
      <c r="AA544" s="8">
        <v>68.111500800000002</v>
      </c>
      <c r="AB544" t="b">
        <f t="shared" si="8"/>
        <v>0</v>
      </c>
    </row>
    <row r="545" spans="1:28" x14ac:dyDescent="0.3">
      <c r="A545">
        <v>897590</v>
      </c>
      <c r="B545" t="s">
        <v>1599</v>
      </c>
      <c r="C545" t="s">
        <v>1587</v>
      </c>
      <c r="D545" t="s">
        <v>1600</v>
      </c>
      <c r="E545" t="s">
        <v>1601</v>
      </c>
      <c r="X545">
        <v>39131717</v>
      </c>
      <c r="Y545" s="8">
        <v>78.498390000000001</v>
      </c>
      <c r="Z545">
        <v>39131717</v>
      </c>
      <c r="AA545" s="8">
        <v>78.498390000000001</v>
      </c>
      <c r="AB545" t="b">
        <f t="shared" si="8"/>
        <v>0</v>
      </c>
    </row>
    <row r="546" spans="1:28" x14ac:dyDescent="0.3">
      <c r="A546">
        <v>897591</v>
      </c>
      <c r="B546" t="s">
        <v>1602</v>
      </c>
      <c r="C546" t="s">
        <v>1152</v>
      </c>
      <c r="D546" t="s">
        <v>1603</v>
      </c>
      <c r="E546" t="s">
        <v>1604</v>
      </c>
      <c r="O546" t="s">
        <v>656</v>
      </c>
      <c r="P546" t="s">
        <v>1152</v>
      </c>
      <c r="Q546" t="s">
        <v>40</v>
      </c>
      <c r="T546" s="8">
        <v>60</v>
      </c>
      <c r="AB546" t="b">
        <f t="shared" si="8"/>
        <v>0</v>
      </c>
    </row>
    <row r="547" spans="1:28" x14ac:dyDescent="0.3">
      <c r="A547">
        <v>897592</v>
      </c>
      <c r="B547" t="s">
        <v>1605</v>
      </c>
      <c r="C547" t="s">
        <v>207</v>
      </c>
      <c r="D547" t="s">
        <v>1606</v>
      </c>
      <c r="E547" t="s">
        <v>1607</v>
      </c>
      <c r="X547">
        <v>31201700</v>
      </c>
      <c r="Y547" s="8">
        <v>84.682789999999997</v>
      </c>
      <c r="Z547">
        <v>31201700</v>
      </c>
      <c r="AA547" s="8">
        <v>84.682789999999997</v>
      </c>
      <c r="AB547" t="b">
        <f t="shared" si="8"/>
        <v>0</v>
      </c>
    </row>
    <row r="548" spans="1:28" x14ac:dyDescent="0.3">
      <c r="A548">
        <v>897593</v>
      </c>
      <c r="B548" t="s">
        <v>1608</v>
      </c>
      <c r="C548" t="s">
        <v>207</v>
      </c>
      <c r="D548" t="s">
        <v>1609</v>
      </c>
      <c r="E548" t="s">
        <v>1610</v>
      </c>
      <c r="G548">
        <v>341161</v>
      </c>
      <c r="H548" t="s">
        <v>1611</v>
      </c>
      <c r="I548" t="s">
        <v>631</v>
      </c>
      <c r="J548" s="6" t="s">
        <v>1612</v>
      </c>
      <c r="K548">
        <v>39121703</v>
      </c>
      <c r="L548" t="s">
        <v>1610</v>
      </c>
      <c r="M548">
        <v>265544</v>
      </c>
      <c r="N548" t="s">
        <v>1613</v>
      </c>
      <c r="O548" t="s">
        <v>631</v>
      </c>
      <c r="Q548" t="s">
        <v>86</v>
      </c>
      <c r="R548" s="9">
        <v>0.95354401354824303</v>
      </c>
      <c r="S548" s="8">
        <v>100</v>
      </c>
      <c r="T548" s="9">
        <v>98.177200677412102</v>
      </c>
      <c r="U548" s="8">
        <v>100</v>
      </c>
      <c r="V548" t="s">
        <v>631</v>
      </c>
      <c r="W548" s="8">
        <v>95.560646000000006</v>
      </c>
      <c r="X548">
        <v>39121703</v>
      </c>
      <c r="Y548" s="8">
        <v>95.560646000000006</v>
      </c>
      <c r="Z548">
        <v>39121703</v>
      </c>
      <c r="AA548" s="8">
        <v>95.570564000000005</v>
      </c>
      <c r="AB548" t="b">
        <f t="shared" si="8"/>
        <v>0</v>
      </c>
    </row>
    <row r="549" spans="1:28" x14ac:dyDescent="0.3">
      <c r="A549">
        <v>897594</v>
      </c>
      <c r="B549" t="s">
        <v>1614</v>
      </c>
      <c r="C549" t="s">
        <v>1054</v>
      </c>
      <c r="D549" t="s">
        <v>1615</v>
      </c>
      <c r="E549" t="s">
        <v>1616</v>
      </c>
      <c r="G549">
        <v>337203</v>
      </c>
      <c r="H549" t="s">
        <v>1615</v>
      </c>
      <c r="I549" t="s">
        <v>104</v>
      </c>
      <c r="J549" s="5">
        <v>781011611033</v>
      </c>
      <c r="K549">
        <v>39121701</v>
      </c>
      <c r="L549" t="s">
        <v>1616</v>
      </c>
      <c r="M549">
        <v>253267</v>
      </c>
      <c r="N549" t="s">
        <v>1617</v>
      </c>
      <c r="O549" t="s">
        <v>48</v>
      </c>
      <c r="Q549" t="s">
        <v>86</v>
      </c>
      <c r="R549" s="9">
        <v>0.99428638169931205</v>
      </c>
      <c r="S549" s="9">
        <v>97.214319084965595</v>
      </c>
      <c r="T549" s="9">
        <v>97.214319084965595</v>
      </c>
      <c r="U549" s="8">
        <v>100</v>
      </c>
      <c r="V549" t="s">
        <v>104</v>
      </c>
      <c r="W549" s="9">
        <v>99.431879999999893</v>
      </c>
      <c r="X549">
        <v>39121701</v>
      </c>
      <c r="Y549" s="9">
        <v>99.431879999999893</v>
      </c>
      <c r="Z549">
        <v>39121701</v>
      </c>
      <c r="AA549" s="9">
        <v>99.431879999999893</v>
      </c>
      <c r="AB549" t="b">
        <f t="shared" si="8"/>
        <v>0</v>
      </c>
    </row>
    <row r="550" spans="1:28" x14ac:dyDescent="0.3">
      <c r="A550">
        <v>897595</v>
      </c>
      <c r="B550" t="s">
        <v>1618</v>
      </c>
      <c r="C550" t="s">
        <v>1619</v>
      </c>
      <c r="D550" t="s">
        <v>1620</v>
      </c>
      <c r="E550" t="s">
        <v>1621</v>
      </c>
      <c r="AB550" t="b">
        <f t="shared" si="8"/>
        <v>0</v>
      </c>
    </row>
    <row r="551" spans="1:28" x14ac:dyDescent="0.3">
      <c r="A551">
        <v>897597</v>
      </c>
      <c r="B551" t="s">
        <v>1622</v>
      </c>
      <c r="C551" t="s">
        <v>1109</v>
      </c>
      <c r="D551" t="s">
        <v>1623</v>
      </c>
      <c r="O551" t="s">
        <v>1624</v>
      </c>
      <c r="P551" t="s">
        <v>1625</v>
      </c>
      <c r="Q551" t="s">
        <v>51</v>
      </c>
      <c r="T551" s="8">
        <v>50</v>
      </c>
      <c r="X551">
        <v>39131706</v>
      </c>
      <c r="Y551" s="9">
        <v>45.293855999999899</v>
      </c>
      <c r="Z551">
        <v>39131706</v>
      </c>
      <c r="AA551" s="9">
        <v>45.293855999999899</v>
      </c>
      <c r="AB551" t="b">
        <f t="shared" si="8"/>
        <v>0</v>
      </c>
    </row>
    <row r="552" spans="1:28" x14ac:dyDescent="0.3">
      <c r="A552">
        <v>897598</v>
      </c>
      <c r="B552" t="s">
        <v>1169</v>
      </c>
      <c r="C552" t="s">
        <v>1167</v>
      </c>
      <c r="D552" t="s">
        <v>1170</v>
      </c>
      <c r="E552" t="s">
        <v>1171</v>
      </c>
      <c r="G552">
        <v>338858</v>
      </c>
      <c r="H552">
        <v>64578</v>
      </c>
      <c r="I552" t="s">
        <v>73</v>
      </c>
      <c r="J552" s="5">
        <v>783310056959</v>
      </c>
      <c r="K552">
        <v>23241638</v>
      </c>
      <c r="L552" t="s">
        <v>1171</v>
      </c>
      <c r="M552">
        <v>258967</v>
      </c>
      <c r="N552" t="s">
        <v>1172</v>
      </c>
      <c r="O552" t="s">
        <v>73</v>
      </c>
      <c r="Q552" t="s">
        <v>86</v>
      </c>
      <c r="R552" s="8">
        <v>0.92085590544708396</v>
      </c>
      <c r="S552" s="9">
        <v>34.933084276692398</v>
      </c>
      <c r="T552" s="9">
        <v>32.529106402784898</v>
      </c>
      <c r="U552" s="9">
        <v>91.905989495580499</v>
      </c>
      <c r="V552" t="s">
        <v>73</v>
      </c>
      <c r="W552" s="9">
        <v>92.666039999999995</v>
      </c>
      <c r="X552">
        <v>23241638</v>
      </c>
      <c r="Y552" s="9">
        <v>92.666039999999995</v>
      </c>
      <c r="Z552">
        <v>23241638</v>
      </c>
      <c r="AA552" s="8">
        <v>92.619995000000003</v>
      </c>
      <c r="AB552" t="b">
        <f t="shared" si="8"/>
        <v>0</v>
      </c>
    </row>
    <row r="553" spans="1:28" x14ac:dyDescent="0.3">
      <c r="A553">
        <v>897599</v>
      </c>
      <c r="B553" t="s">
        <v>1626</v>
      </c>
      <c r="C553" t="s">
        <v>1062</v>
      </c>
      <c r="D553" t="s">
        <v>1627</v>
      </c>
      <c r="E553" t="s">
        <v>1628</v>
      </c>
      <c r="O553" t="s">
        <v>578</v>
      </c>
      <c r="P553" t="s">
        <v>1062</v>
      </c>
      <c r="Q553" t="s">
        <v>40</v>
      </c>
      <c r="T553" s="8">
        <v>60</v>
      </c>
      <c r="X553">
        <v>39122236</v>
      </c>
      <c r="Y553" s="9">
        <v>61.928847999999903</v>
      </c>
      <c r="Z553">
        <v>39122236</v>
      </c>
      <c r="AA553" s="9">
        <v>61.928847999999903</v>
      </c>
      <c r="AB553" t="b">
        <f t="shared" si="8"/>
        <v>0</v>
      </c>
    </row>
    <row r="554" spans="1:28" x14ac:dyDescent="0.3">
      <c r="A554">
        <v>897600</v>
      </c>
      <c r="B554" t="s">
        <v>1629</v>
      </c>
      <c r="C554" t="s">
        <v>1152</v>
      </c>
      <c r="E554" t="s">
        <v>1630</v>
      </c>
      <c r="O554" t="s">
        <v>656</v>
      </c>
      <c r="P554" t="s">
        <v>1152</v>
      </c>
      <c r="Q554" t="s">
        <v>40</v>
      </c>
      <c r="T554" s="8">
        <v>60</v>
      </c>
      <c r="AB554" t="b">
        <f t="shared" si="8"/>
        <v>0</v>
      </c>
    </row>
    <row r="555" spans="1:28" x14ac:dyDescent="0.3">
      <c r="A555">
        <v>897601</v>
      </c>
      <c r="B555" t="s">
        <v>1631</v>
      </c>
      <c r="C555" t="s">
        <v>1632</v>
      </c>
      <c r="D555" t="s">
        <v>1633</v>
      </c>
      <c r="X555">
        <v>39122333</v>
      </c>
      <c r="Y555" s="8">
        <v>75.210774000000001</v>
      </c>
      <c r="Z555">
        <v>39122333</v>
      </c>
      <c r="AA555" s="8">
        <v>75.210774000000001</v>
      </c>
      <c r="AB555" t="b">
        <f t="shared" si="8"/>
        <v>0</v>
      </c>
    </row>
    <row r="556" spans="1:28" x14ac:dyDescent="0.3">
      <c r="A556">
        <v>897603</v>
      </c>
      <c r="B556" t="s">
        <v>1634</v>
      </c>
      <c r="C556" t="s">
        <v>1374</v>
      </c>
      <c r="D556" t="s">
        <v>1635</v>
      </c>
      <c r="E556" t="s">
        <v>1636</v>
      </c>
      <c r="AB556" t="b">
        <f t="shared" si="8"/>
        <v>0</v>
      </c>
    </row>
    <row r="557" spans="1:28" x14ac:dyDescent="0.3">
      <c r="A557">
        <v>897604</v>
      </c>
      <c r="B557" t="s">
        <v>1637</v>
      </c>
      <c r="C557" t="s">
        <v>1223</v>
      </c>
      <c r="D557" t="s">
        <v>1638</v>
      </c>
      <c r="E557" t="s">
        <v>1639</v>
      </c>
      <c r="O557" t="s">
        <v>414</v>
      </c>
      <c r="P557" t="s">
        <v>1223</v>
      </c>
      <c r="Q557" t="s">
        <v>40</v>
      </c>
      <c r="T557" s="8">
        <v>60</v>
      </c>
      <c r="AB557" t="b">
        <f t="shared" si="8"/>
        <v>0</v>
      </c>
    </row>
    <row r="558" spans="1:28" x14ac:dyDescent="0.3">
      <c r="A558">
        <v>897605</v>
      </c>
      <c r="B558" t="s">
        <v>1640</v>
      </c>
      <c r="C558" t="s">
        <v>1428</v>
      </c>
      <c r="D558" t="s">
        <v>1641</v>
      </c>
      <c r="X558">
        <v>39101628</v>
      </c>
      <c r="Y558" s="8">
        <v>76.7012</v>
      </c>
      <c r="Z558">
        <v>39101628</v>
      </c>
      <c r="AA558" s="8">
        <v>76.686790000000002</v>
      </c>
      <c r="AB558" t="b">
        <f t="shared" si="8"/>
        <v>0</v>
      </c>
    </row>
    <row r="559" spans="1:28" x14ac:dyDescent="0.3">
      <c r="A559">
        <v>897606</v>
      </c>
      <c r="B559" t="s">
        <v>1427</v>
      </c>
      <c r="C559" t="s">
        <v>1428</v>
      </c>
      <c r="D559" t="s">
        <v>1429</v>
      </c>
      <c r="X559">
        <v>39111500</v>
      </c>
      <c r="Y559" s="8">
        <v>60.428344000000003</v>
      </c>
      <c r="Z559">
        <v>39111500</v>
      </c>
      <c r="AA559" s="8">
        <v>60.428344000000003</v>
      </c>
      <c r="AB559" t="b">
        <f t="shared" si="8"/>
        <v>0</v>
      </c>
    </row>
    <row r="560" spans="1:28" x14ac:dyDescent="0.3">
      <c r="A560">
        <v>897607</v>
      </c>
      <c r="B560" t="s">
        <v>1642</v>
      </c>
      <c r="C560" t="s">
        <v>1428</v>
      </c>
      <c r="D560" t="s">
        <v>1643</v>
      </c>
      <c r="X560">
        <v>39101628</v>
      </c>
      <c r="Y560" s="8">
        <v>76.861197000000004</v>
      </c>
      <c r="Z560">
        <v>39101628</v>
      </c>
      <c r="AA560" s="9">
        <v>76.846736999999905</v>
      </c>
      <c r="AB560" t="b">
        <f t="shared" si="8"/>
        <v>0</v>
      </c>
    </row>
    <row r="561" spans="1:28" x14ac:dyDescent="0.3">
      <c r="A561">
        <v>897608</v>
      </c>
      <c r="B561" t="s">
        <v>1644</v>
      </c>
      <c r="C561" t="s">
        <v>1428</v>
      </c>
      <c r="D561" t="s">
        <v>1645</v>
      </c>
      <c r="X561">
        <v>39111510</v>
      </c>
      <c r="Y561" s="9">
        <v>45.703790399999903</v>
      </c>
      <c r="Z561">
        <v>39111510</v>
      </c>
      <c r="AA561" s="9">
        <v>45.703790399999903</v>
      </c>
      <c r="AB561" t="b">
        <f t="shared" si="8"/>
        <v>0</v>
      </c>
    </row>
    <row r="562" spans="1:28" ht="57.6" x14ac:dyDescent="0.3">
      <c r="A562">
        <v>897609</v>
      </c>
      <c r="B562" s="2" t="s">
        <v>1646</v>
      </c>
      <c r="C562" t="s">
        <v>1428</v>
      </c>
      <c r="D562" t="s">
        <v>1641</v>
      </c>
      <c r="AB562" t="b">
        <f t="shared" si="8"/>
        <v>0</v>
      </c>
    </row>
    <row r="563" spans="1:28" x14ac:dyDescent="0.3">
      <c r="A563">
        <v>897611</v>
      </c>
      <c r="B563" t="e">
        <f>- SPODMA D WH</f>
        <v>#NAME?</v>
      </c>
      <c r="AB563" t="b">
        <f t="shared" si="8"/>
        <v>0</v>
      </c>
    </row>
    <row r="564" spans="1:28" x14ac:dyDescent="0.3">
      <c r="A564">
        <v>897612</v>
      </c>
      <c r="B564" t="s">
        <v>1647</v>
      </c>
      <c r="C564" t="s">
        <v>1587</v>
      </c>
      <c r="D564" t="s">
        <v>1648</v>
      </c>
      <c r="E564" t="s">
        <v>1649</v>
      </c>
      <c r="O564" t="s">
        <v>45</v>
      </c>
      <c r="P564" t="s">
        <v>154</v>
      </c>
      <c r="Q564" t="s">
        <v>40</v>
      </c>
      <c r="T564" s="8">
        <v>60</v>
      </c>
      <c r="X564">
        <v>39131707</v>
      </c>
      <c r="Y564" s="8">
        <v>78.493505999999996</v>
      </c>
      <c r="Z564">
        <v>39131707</v>
      </c>
      <c r="AA564" s="8">
        <v>78.493505999999996</v>
      </c>
      <c r="AB564" t="b">
        <f t="shared" si="8"/>
        <v>0</v>
      </c>
    </row>
    <row r="565" spans="1:28" x14ac:dyDescent="0.3">
      <c r="A565">
        <v>897613</v>
      </c>
      <c r="B565" t="s">
        <v>1650</v>
      </c>
      <c r="C565" t="s">
        <v>1587</v>
      </c>
      <c r="D565" t="s">
        <v>1651</v>
      </c>
      <c r="E565" t="s">
        <v>1652</v>
      </c>
      <c r="O565" t="s">
        <v>45</v>
      </c>
      <c r="P565" t="s">
        <v>154</v>
      </c>
      <c r="Q565" t="s">
        <v>40</v>
      </c>
      <c r="T565" s="8">
        <v>60</v>
      </c>
      <c r="X565">
        <v>39131707</v>
      </c>
      <c r="Y565" s="9">
        <v>77.833949999999902</v>
      </c>
      <c r="Z565">
        <v>39131707</v>
      </c>
      <c r="AA565" s="9">
        <v>77.833949999999902</v>
      </c>
      <c r="AB565" t="b">
        <f t="shared" si="8"/>
        <v>0</v>
      </c>
    </row>
    <row r="566" spans="1:28" x14ac:dyDescent="0.3">
      <c r="A566">
        <v>897614</v>
      </c>
      <c r="B566" t="s">
        <v>1653</v>
      </c>
      <c r="C566" t="s">
        <v>1587</v>
      </c>
      <c r="D566" t="s">
        <v>1654</v>
      </c>
      <c r="E566" t="s">
        <v>1655</v>
      </c>
      <c r="O566" t="s">
        <v>45</v>
      </c>
      <c r="P566" t="s">
        <v>154</v>
      </c>
      <c r="Q566" t="s">
        <v>40</v>
      </c>
      <c r="T566" s="8">
        <v>60</v>
      </c>
      <c r="X566">
        <v>39131707</v>
      </c>
      <c r="Y566" s="8">
        <v>77.817684</v>
      </c>
      <c r="Z566">
        <v>39131707</v>
      </c>
      <c r="AA566" s="8">
        <v>77.817684</v>
      </c>
      <c r="AB566" t="b">
        <f t="shared" si="8"/>
        <v>0</v>
      </c>
    </row>
    <row r="567" spans="1:28" x14ac:dyDescent="0.3">
      <c r="A567">
        <v>897615</v>
      </c>
      <c r="B567" t="s">
        <v>1656</v>
      </c>
      <c r="C567" t="s">
        <v>1587</v>
      </c>
      <c r="D567" t="s">
        <v>1657</v>
      </c>
      <c r="E567" t="s">
        <v>1658</v>
      </c>
      <c r="O567" t="s">
        <v>45</v>
      </c>
      <c r="P567" t="s">
        <v>154</v>
      </c>
      <c r="Q567" t="s">
        <v>40</v>
      </c>
      <c r="T567" s="8">
        <v>60</v>
      </c>
      <c r="X567">
        <v>39131700</v>
      </c>
      <c r="Y567" s="8">
        <v>78.623384000000001</v>
      </c>
      <c r="Z567">
        <v>39131700</v>
      </c>
      <c r="AA567" s="8">
        <v>78.623384000000001</v>
      </c>
      <c r="AB567" t="b">
        <f t="shared" si="8"/>
        <v>0</v>
      </c>
    </row>
    <row r="568" spans="1:28" x14ac:dyDescent="0.3">
      <c r="A568">
        <v>897616</v>
      </c>
      <c r="B568" t="s">
        <v>1659</v>
      </c>
      <c r="C568" t="s">
        <v>1587</v>
      </c>
      <c r="D568" t="s">
        <v>1660</v>
      </c>
      <c r="E568" t="s">
        <v>1661</v>
      </c>
      <c r="O568" t="s">
        <v>45</v>
      </c>
      <c r="P568" t="s">
        <v>154</v>
      </c>
      <c r="Q568" t="s">
        <v>40</v>
      </c>
      <c r="T568" s="8">
        <v>60</v>
      </c>
      <c r="X568">
        <v>39131700</v>
      </c>
      <c r="Y568" s="8">
        <v>78.523004</v>
      </c>
      <c r="Z568">
        <v>39131700</v>
      </c>
      <c r="AA568" s="8">
        <v>78.523004</v>
      </c>
      <c r="AB568" t="b">
        <f t="shared" si="8"/>
        <v>0</v>
      </c>
    </row>
    <row r="569" spans="1:28" x14ac:dyDescent="0.3">
      <c r="A569">
        <v>897617</v>
      </c>
      <c r="B569" t="s">
        <v>1662</v>
      </c>
      <c r="C569" t="s">
        <v>1587</v>
      </c>
      <c r="D569" t="s">
        <v>1663</v>
      </c>
      <c r="E569" t="s">
        <v>1664</v>
      </c>
      <c r="O569" t="s">
        <v>45</v>
      </c>
      <c r="P569" t="s">
        <v>154</v>
      </c>
      <c r="Q569" t="s">
        <v>40</v>
      </c>
      <c r="T569" s="8">
        <v>60</v>
      </c>
      <c r="X569">
        <v>39131700</v>
      </c>
      <c r="Y569" s="9">
        <v>80.501049999999907</v>
      </c>
      <c r="Z569">
        <v>39131700</v>
      </c>
      <c r="AA569" s="9">
        <v>80.501049999999907</v>
      </c>
      <c r="AB569" t="b">
        <f t="shared" si="8"/>
        <v>0</v>
      </c>
    </row>
    <row r="570" spans="1:28" x14ac:dyDescent="0.3">
      <c r="A570">
        <v>897618</v>
      </c>
      <c r="B570" t="s">
        <v>1665</v>
      </c>
      <c r="C570" t="s">
        <v>1223</v>
      </c>
      <c r="D570" t="s">
        <v>1666</v>
      </c>
      <c r="E570" t="s">
        <v>1667</v>
      </c>
      <c r="G570">
        <v>337523</v>
      </c>
      <c r="H570" t="s">
        <v>1666</v>
      </c>
      <c r="I570" t="s">
        <v>414</v>
      </c>
      <c r="J570" s="5">
        <v>781810221068</v>
      </c>
      <c r="K570">
        <v>39121613</v>
      </c>
      <c r="L570" t="s">
        <v>1667</v>
      </c>
      <c r="M570">
        <v>254782</v>
      </c>
      <c r="N570" t="s">
        <v>1665</v>
      </c>
      <c r="O570" t="s">
        <v>414</v>
      </c>
      <c r="P570" t="s">
        <v>1223</v>
      </c>
      <c r="Q570" t="s">
        <v>40</v>
      </c>
      <c r="R570" s="9">
        <v>0.99705341599862296</v>
      </c>
      <c r="S570" s="8">
        <v>100</v>
      </c>
      <c r="T570" s="8">
        <v>100</v>
      </c>
      <c r="U570" s="8">
        <v>100</v>
      </c>
      <c r="V570" t="s">
        <v>414</v>
      </c>
      <c r="W570" s="8">
        <v>99.706215</v>
      </c>
      <c r="X570">
        <v>39121613</v>
      </c>
      <c r="Y570" s="8">
        <v>99.706215</v>
      </c>
      <c r="Z570">
        <v>39121613</v>
      </c>
      <c r="AA570" s="8">
        <v>99.706215</v>
      </c>
      <c r="AB570" t="b">
        <f t="shared" si="8"/>
        <v>0</v>
      </c>
    </row>
    <row r="571" spans="1:28" x14ac:dyDescent="0.3">
      <c r="A571">
        <v>897619</v>
      </c>
      <c r="B571" t="s">
        <v>1536</v>
      </c>
      <c r="C571" t="s">
        <v>1062</v>
      </c>
      <c r="D571">
        <v>84014</v>
      </c>
      <c r="E571" t="s">
        <v>1537</v>
      </c>
      <c r="G571">
        <v>336214</v>
      </c>
      <c r="H571">
        <v>84014</v>
      </c>
      <c r="I571" t="s">
        <v>578</v>
      </c>
      <c r="J571" s="6" t="s">
        <v>1538</v>
      </c>
      <c r="K571">
        <v>39121704</v>
      </c>
      <c r="L571" t="s">
        <v>1537</v>
      </c>
      <c r="M571">
        <v>262596</v>
      </c>
      <c r="N571" t="s">
        <v>1536</v>
      </c>
      <c r="O571" t="s">
        <v>578</v>
      </c>
      <c r="P571" t="s">
        <v>1062</v>
      </c>
      <c r="Q571" t="s">
        <v>40</v>
      </c>
      <c r="R571" s="9">
        <v>0.99999905791167498</v>
      </c>
      <c r="S571" s="8">
        <v>100</v>
      </c>
      <c r="T571" s="8">
        <v>100</v>
      </c>
      <c r="U571" s="8">
        <v>100</v>
      </c>
      <c r="V571" t="s">
        <v>578</v>
      </c>
      <c r="W571" s="9">
        <v>99.999929999999907</v>
      </c>
      <c r="X571">
        <v>39121704</v>
      </c>
      <c r="Y571" s="9">
        <v>99.999929999999907</v>
      </c>
      <c r="Z571">
        <v>39121704</v>
      </c>
      <c r="AA571" s="8">
        <v>99.999930000000006</v>
      </c>
      <c r="AB571" t="b">
        <f t="shared" si="8"/>
        <v>0</v>
      </c>
    </row>
    <row r="572" spans="1:28" x14ac:dyDescent="0.3">
      <c r="A572">
        <v>897620</v>
      </c>
      <c r="B572" t="s">
        <v>1668</v>
      </c>
      <c r="C572" t="s">
        <v>1062</v>
      </c>
      <c r="D572" t="s">
        <v>1669</v>
      </c>
      <c r="E572" t="s">
        <v>1670</v>
      </c>
      <c r="G572">
        <v>336705</v>
      </c>
      <c r="H572" t="s">
        <v>1671</v>
      </c>
      <c r="I572" t="s">
        <v>578</v>
      </c>
      <c r="J572" s="6" t="s">
        <v>1672</v>
      </c>
      <c r="K572">
        <v>39121704</v>
      </c>
      <c r="L572" t="s">
        <v>1670</v>
      </c>
      <c r="M572">
        <v>262555</v>
      </c>
      <c r="N572" t="s">
        <v>1673</v>
      </c>
      <c r="O572" t="s">
        <v>578</v>
      </c>
      <c r="P572" t="s">
        <v>1062</v>
      </c>
      <c r="Q572" t="s">
        <v>40</v>
      </c>
      <c r="R572" s="9">
        <v>0.98216930868508601</v>
      </c>
      <c r="S572" s="9">
        <v>12.2863676135704</v>
      </c>
      <c r="T572" s="8">
        <v>100</v>
      </c>
      <c r="U572" s="8">
        <v>100</v>
      </c>
      <c r="V572" t="s">
        <v>578</v>
      </c>
      <c r="W572" s="8">
        <v>98.248180000000005</v>
      </c>
      <c r="X572">
        <v>39121704</v>
      </c>
      <c r="Y572" s="8">
        <v>98.248180000000005</v>
      </c>
      <c r="Z572">
        <v>39121704</v>
      </c>
      <c r="AA572" s="9">
        <v>98.248179999999905</v>
      </c>
      <c r="AB572" t="b">
        <f t="shared" si="8"/>
        <v>0</v>
      </c>
    </row>
    <row r="573" spans="1:28" x14ac:dyDescent="0.3">
      <c r="A573">
        <v>897621</v>
      </c>
      <c r="B573" t="s">
        <v>1674</v>
      </c>
      <c r="C573" t="s">
        <v>1675</v>
      </c>
      <c r="D573" t="s">
        <v>1676</v>
      </c>
      <c r="E573" t="s">
        <v>1677</v>
      </c>
      <c r="X573">
        <v>39111612</v>
      </c>
      <c r="Y573" s="8">
        <v>47.258720400000001</v>
      </c>
      <c r="Z573">
        <v>39111612</v>
      </c>
      <c r="AA573" s="8">
        <v>47.258720400000001</v>
      </c>
      <c r="AB573" t="b">
        <f t="shared" si="8"/>
        <v>0</v>
      </c>
    </row>
    <row r="574" spans="1:28" x14ac:dyDescent="0.3">
      <c r="A574">
        <v>897622</v>
      </c>
      <c r="B574" t="s">
        <v>1678</v>
      </c>
      <c r="C574" t="s">
        <v>1082</v>
      </c>
      <c r="D574" t="s">
        <v>1679</v>
      </c>
      <c r="E574" t="s">
        <v>1680</v>
      </c>
      <c r="G574">
        <v>339123</v>
      </c>
      <c r="H574" t="s">
        <v>1679</v>
      </c>
      <c r="I574" t="s">
        <v>343</v>
      </c>
      <c r="J574" s="5">
        <v>783510526306</v>
      </c>
      <c r="K574">
        <v>39131710</v>
      </c>
      <c r="L574" t="s">
        <v>1680</v>
      </c>
      <c r="M574">
        <v>259641</v>
      </c>
      <c r="N574" t="s">
        <v>1678</v>
      </c>
      <c r="O574" t="s">
        <v>343</v>
      </c>
      <c r="Q574" t="s">
        <v>86</v>
      </c>
      <c r="R574" s="9">
        <v>0.99999907284186396</v>
      </c>
      <c r="S574" s="8">
        <v>92.499953642093203</v>
      </c>
      <c r="T574" s="8">
        <v>94.499953642093203</v>
      </c>
      <c r="U574" s="8">
        <v>100</v>
      </c>
      <c r="V574" t="s">
        <v>343</v>
      </c>
      <c r="W574" s="9">
        <v>99.999916999999996</v>
      </c>
      <c r="X574">
        <v>39131710</v>
      </c>
      <c r="Y574" s="9">
        <v>99.999916999999996</v>
      </c>
      <c r="Z574">
        <v>39131710</v>
      </c>
      <c r="AA574" s="9">
        <v>99.999916999999996</v>
      </c>
      <c r="AB574" t="b">
        <f t="shared" si="8"/>
        <v>0</v>
      </c>
    </row>
    <row r="575" spans="1:28" x14ac:dyDescent="0.3">
      <c r="A575">
        <v>897623</v>
      </c>
      <c r="B575" t="s">
        <v>1681</v>
      </c>
      <c r="C575" t="s">
        <v>1675</v>
      </c>
      <c r="D575" t="s">
        <v>1676</v>
      </c>
      <c r="E575" t="s">
        <v>1677</v>
      </c>
      <c r="X575">
        <v>39110000</v>
      </c>
      <c r="Y575" s="8">
        <v>46.844558999999997</v>
      </c>
      <c r="Z575">
        <v>39110000</v>
      </c>
      <c r="AA575" s="8">
        <v>46.844558999999997</v>
      </c>
      <c r="AB575" t="b">
        <f t="shared" si="8"/>
        <v>0</v>
      </c>
    </row>
    <row r="576" spans="1:28" x14ac:dyDescent="0.3">
      <c r="A576">
        <v>897624</v>
      </c>
      <c r="B576" t="s">
        <v>1682</v>
      </c>
      <c r="C576" t="s">
        <v>1683</v>
      </c>
      <c r="D576" t="s">
        <v>1684</v>
      </c>
      <c r="E576" t="s">
        <v>1685</v>
      </c>
      <c r="G576">
        <v>191442</v>
      </c>
      <c r="H576" t="s">
        <v>1684</v>
      </c>
      <c r="I576" t="s">
        <v>1686</v>
      </c>
      <c r="J576" s="6" t="s">
        <v>1687</v>
      </c>
      <c r="K576">
        <v>39121617</v>
      </c>
      <c r="M576">
        <v>4635</v>
      </c>
      <c r="N576" t="s">
        <v>1688</v>
      </c>
      <c r="O576" t="s">
        <v>1686</v>
      </c>
      <c r="Q576" t="s">
        <v>75</v>
      </c>
      <c r="R576" s="9">
        <v>0.645570899611011</v>
      </c>
      <c r="S576" s="9">
        <v>74.778544980550507</v>
      </c>
      <c r="T576" s="9">
        <v>42.7785449805505</v>
      </c>
      <c r="U576" s="9">
        <v>47.114179922202197</v>
      </c>
      <c r="X576">
        <v>39121600</v>
      </c>
      <c r="Y576" s="9">
        <v>69.401968888888803</v>
      </c>
      <c r="Z576">
        <v>39121600</v>
      </c>
      <c r="AA576" s="9">
        <v>69.395791111111095</v>
      </c>
      <c r="AB576" t="b">
        <f t="shared" si="8"/>
        <v>0</v>
      </c>
    </row>
    <row r="577" spans="1:28" x14ac:dyDescent="0.3">
      <c r="A577">
        <v>897625</v>
      </c>
      <c r="B577" t="s">
        <v>1689</v>
      </c>
      <c r="C577" t="s">
        <v>1683</v>
      </c>
      <c r="D577" t="s">
        <v>1690</v>
      </c>
      <c r="E577" t="s">
        <v>1691</v>
      </c>
      <c r="G577">
        <v>338665</v>
      </c>
      <c r="H577" t="s">
        <v>1690</v>
      </c>
      <c r="I577" t="s">
        <v>1686</v>
      </c>
      <c r="J577" s="6" t="s">
        <v>1692</v>
      </c>
      <c r="K577">
        <v>39121604</v>
      </c>
      <c r="L577" t="s">
        <v>1691</v>
      </c>
      <c r="M577">
        <v>263101</v>
      </c>
      <c r="N577" t="s">
        <v>1693</v>
      </c>
      <c r="O577" t="s">
        <v>1686</v>
      </c>
      <c r="Q577" t="s">
        <v>75</v>
      </c>
      <c r="R577" s="9">
        <v>0.95274246330753498</v>
      </c>
      <c r="S577" s="8">
        <v>100</v>
      </c>
      <c r="T577" s="9">
        <v>64.137123165376707</v>
      </c>
      <c r="U577" s="8">
        <v>100</v>
      </c>
      <c r="V577" t="s">
        <v>1686</v>
      </c>
      <c r="W577" s="9">
        <v>95.487504999999899</v>
      </c>
      <c r="X577">
        <v>39121604</v>
      </c>
      <c r="Y577" s="9">
        <v>95.487504999999899</v>
      </c>
      <c r="Z577">
        <v>39121604</v>
      </c>
      <c r="AA577" s="8">
        <v>95.487504999999999</v>
      </c>
      <c r="AB577" t="b">
        <f t="shared" si="8"/>
        <v>0</v>
      </c>
    </row>
    <row r="578" spans="1:28" x14ac:dyDescent="0.3">
      <c r="A578">
        <v>897626</v>
      </c>
      <c r="B578" t="s">
        <v>1694</v>
      </c>
      <c r="C578" t="s">
        <v>1163</v>
      </c>
      <c r="D578" t="s">
        <v>1695</v>
      </c>
      <c r="AB578" t="b">
        <f t="shared" si="8"/>
        <v>0</v>
      </c>
    </row>
    <row r="579" spans="1:28" x14ac:dyDescent="0.3">
      <c r="A579">
        <v>897627</v>
      </c>
      <c r="B579" t="s">
        <v>1696</v>
      </c>
      <c r="C579" t="s">
        <v>1152</v>
      </c>
      <c r="D579" t="s">
        <v>1697</v>
      </c>
      <c r="O579" t="s">
        <v>656</v>
      </c>
      <c r="P579" t="s">
        <v>1152</v>
      </c>
      <c r="Q579" t="s">
        <v>40</v>
      </c>
      <c r="T579" s="8">
        <v>60</v>
      </c>
      <c r="X579">
        <v>39121100</v>
      </c>
      <c r="Y579" s="9">
        <v>68.634705777777697</v>
      </c>
      <c r="Z579">
        <v>39121100</v>
      </c>
      <c r="AA579" s="9">
        <v>68.634705777777697</v>
      </c>
      <c r="AB579" t="b">
        <f t="shared" ref="AB579:AB642" si="9">(AA579-Y579)&lt;-1</f>
        <v>0</v>
      </c>
    </row>
    <row r="580" spans="1:28" x14ac:dyDescent="0.3">
      <c r="A580">
        <v>897628</v>
      </c>
      <c r="B580" t="s">
        <v>1698</v>
      </c>
      <c r="C580" t="s">
        <v>207</v>
      </c>
      <c r="D580" t="s">
        <v>1699</v>
      </c>
      <c r="G580">
        <v>300215</v>
      </c>
      <c r="H580" t="s">
        <v>1699</v>
      </c>
      <c r="I580" t="s">
        <v>631</v>
      </c>
      <c r="J580" s="6" t="s">
        <v>1700</v>
      </c>
      <c r="K580">
        <v>39131713</v>
      </c>
      <c r="M580">
        <v>41596</v>
      </c>
      <c r="N580" t="s">
        <v>1701</v>
      </c>
      <c r="O580" t="s">
        <v>631</v>
      </c>
      <c r="Q580" t="s">
        <v>86</v>
      </c>
      <c r="R580" s="9">
        <v>0.92101808205407298</v>
      </c>
      <c r="S580" s="8">
        <v>93.550904102703697</v>
      </c>
      <c r="T580" s="8">
        <v>93.550904102703697</v>
      </c>
      <c r="U580" s="8">
        <v>100</v>
      </c>
      <c r="V580" t="s">
        <v>631</v>
      </c>
      <c r="W580" s="8">
        <v>92.679964999999996</v>
      </c>
      <c r="X580">
        <v>39131713</v>
      </c>
      <c r="Y580" s="8">
        <v>92.679964999999996</v>
      </c>
      <c r="Z580">
        <v>39131713</v>
      </c>
      <c r="AA580" s="8">
        <v>92.629730499999994</v>
      </c>
      <c r="AB580" t="b">
        <f t="shared" si="9"/>
        <v>0</v>
      </c>
    </row>
    <row r="581" spans="1:28" x14ac:dyDescent="0.3">
      <c r="A581">
        <v>897629</v>
      </c>
      <c r="B581" t="s">
        <v>1702</v>
      </c>
      <c r="C581" t="s">
        <v>207</v>
      </c>
      <c r="D581" t="s">
        <v>1703</v>
      </c>
      <c r="G581">
        <v>341137</v>
      </c>
      <c r="H581" t="s">
        <v>1703</v>
      </c>
      <c r="I581" t="s">
        <v>631</v>
      </c>
      <c r="J581" s="6" t="s">
        <v>1704</v>
      </c>
      <c r="K581">
        <v>39131713</v>
      </c>
      <c r="L581" t="s">
        <v>1705</v>
      </c>
      <c r="M581">
        <v>265549</v>
      </c>
      <c r="N581" t="s">
        <v>1706</v>
      </c>
      <c r="O581" t="s">
        <v>631</v>
      </c>
      <c r="Q581" t="s">
        <v>86</v>
      </c>
      <c r="R581" s="9">
        <v>0.96064585755707799</v>
      </c>
      <c r="S581" s="9">
        <v>85.532292877853905</v>
      </c>
      <c r="T581" s="9">
        <v>89.532292877853905</v>
      </c>
      <c r="U581" s="8">
        <v>100</v>
      </c>
      <c r="V581" t="s">
        <v>631</v>
      </c>
      <c r="W581" s="8">
        <v>96.213603000000006</v>
      </c>
      <c r="X581">
        <v>39131713</v>
      </c>
      <c r="Y581" s="8">
        <v>96.213603000000006</v>
      </c>
      <c r="Z581">
        <v>39131713</v>
      </c>
      <c r="AA581" s="8">
        <v>96.213603000000006</v>
      </c>
      <c r="AB581" t="b">
        <f t="shared" si="9"/>
        <v>0</v>
      </c>
    </row>
    <row r="582" spans="1:28" x14ac:dyDescent="0.3">
      <c r="A582">
        <v>897630</v>
      </c>
      <c r="B582" t="s">
        <v>1707</v>
      </c>
      <c r="C582" t="s">
        <v>207</v>
      </c>
      <c r="D582" t="s">
        <v>1708</v>
      </c>
      <c r="G582">
        <v>341164</v>
      </c>
      <c r="H582" t="s">
        <v>1708</v>
      </c>
      <c r="I582" t="s">
        <v>631</v>
      </c>
      <c r="J582" s="6" t="s">
        <v>1709</v>
      </c>
      <c r="K582">
        <v>39131713</v>
      </c>
      <c r="L582" t="s">
        <v>1710</v>
      </c>
      <c r="M582">
        <v>265547</v>
      </c>
      <c r="N582" t="s">
        <v>1711</v>
      </c>
      <c r="O582" t="s">
        <v>631</v>
      </c>
      <c r="Q582" t="s">
        <v>86</v>
      </c>
      <c r="R582" s="9">
        <v>0.94727692304413902</v>
      </c>
      <c r="S582" s="9">
        <v>84.863846152206904</v>
      </c>
      <c r="T582" s="9">
        <v>88.863846152206904</v>
      </c>
      <c r="U582" s="8">
        <v>100</v>
      </c>
      <c r="V582" t="s">
        <v>631</v>
      </c>
      <c r="W582" s="8">
        <v>94.991754999999998</v>
      </c>
      <c r="X582">
        <v>39131713</v>
      </c>
      <c r="Y582" s="8">
        <v>94.991754999999998</v>
      </c>
      <c r="Z582">
        <v>39131713</v>
      </c>
      <c r="AA582" s="8">
        <v>93.555597500000005</v>
      </c>
      <c r="AB582" t="b">
        <f t="shared" si="9"/>
        <v>1</v>
      </c>
    </row>
    <row r="583" spans="1:28" ht="43.2" x14ac:dyDescent="0.3">
      <c r="A583">
        <v>897631</v>
      </c>
      <c r="B583" s="2" t="s">
        <v>1712</v>
      </c>
      <c r="C583" t="s">
        <v>1713</v>
      </c>
      <c r="D583">
        <v>60220</v>
      </c>
      <c r="X583">
        <v>27112806</v>
      </c>
      <c r="Y583" s="9">
        <v>58.2537825</v>
      </c>
      <c r="Z583">
        <v>27112806</v>
      </c>
      <c r="AA583" s="8">
        <v>58.254799499999997</v>
      </c>
      <c r="AB583" t="b">
        <f t="shared" si="9"/>
        <v>0</v>
      </c>
    </row>
    <row r="584" spans="1:28" x14ac:dyDescent="0.3">
      <c r="A584">
        <v>897632</v>
      </c>
      <c r="B584" t="s">
        <v>1714</v>
      </c>
      <c r="C584" t="s">
        <v>207</v>
      </c>
      <c r="D584" t="s">
        <v>1715</v>
      </c>
      <c r="G584">
        <v>312734</v>
      </c>
      <c r="H584" t="s">
        <v>1716</v>
      </c>
      <c r="I584" t="s">
        <v>631</v>
      </c>
      <c r="J584" s="6" t="s">
        <v>1717</v>
      </c>
      <c r="K584">
        <v>39121400</v>
      </c>
      <c r="M584">
        <v>40105</v>
      </c>
      <c r="N584" t="s">
        <v>1718</v>
      </c>
      <c r="O584" t="s">
        <v>631</v>
      </c>
      <c r="Q584" t="s">
        <v>86</v>
      </c>
      <c r="R584" s="9">
        <v>0.72780481734284497</v>
      </c>
      <c r="S584" s="9">
        <v>98.890240867142197</v>
      </c>
      <c r="T584" s="9">
        <v>92.890240867142197</v>
      </c>
      <c r="U584" s="9">
        <v>79.560963468569099</v>
      </c>
      <c r="V584" t="s">
        <v>631</v>
      </c>
      <c r="W584" s="8">
        <v>89.734229999999997</v>
      </c>
      <c r="X584">
        <v>39121432</v>
      </c>
      <c r="Y584" s="8">
        <v>89.734229999999997</v>
      </c>
      <c r="Z584">
        <v>39121432</v>
      </c>
      <c r="AA584" s="8">
        <v>89.734229999999997</v>
      </c>
      <c r="AB584" t="b">
        <f t="shared" si="9"/>
        <v>0</v>
      </c>
    </row>
    <row r="585" spans="1:28" ht="43.2" x14ac:dyDescent="0.3">
      <c r="A585">
        <v>897633</v>
      </c>
      <c r="B585" s="2" t="s">
        <v>1719</v>
      </c>
      <c r="C585" t="s">
        <v>1720</v>
      </c>
      <c r="D585">
        <v>111.023</v>
      </c>
      <c r="AB585" t="b">
        <f t="shared" si="9"/>
        <v>0</v>
      </c>
    </row>
    <row r="586" spans="1:28" x14ac:dyDescent="0.3">
      <c r="A586">
        <v>897634</v>
      </c>
      <c r="B586" t="s">
        <v>1721</v>
      </c>
      <c r="C586" t="s">
        <v>207</v>
      </c>
      <c r="D586" t="s">
        <v>1722</v>
      </c>
      <c r="G586">
        <v>314369</v>
      </c>
      <c r="H586" t="s">
        <v>1722</v>
      </c>
      <c r="I586" t="s">
        <v>631</v>
      </c>
      <c r="J586" s="6" t="s">
        <v>1723</v>
      </c>
      <c r="K586">
        <v>39131712</v>
      </c>
      <c r="M586">
        <v>110839</v>
      </c>
      <c r="N586" t="s">
        <v>1724</v>
      </c>
      <c r="O586" t="s">
        <v>631</v>
      </c>
      <c r="Q586" t="s">
        <v>86</v>
      </c>
      <c r="R586" s="9">
        <v>0.74871160000815196</v>
      </c>
      <c r="S586" s="8">
        <v>89.935580000407597</v>
      </c>
      <c r="T586" s="8">
        <v>87.935580000407597</v>
      </c>
      <c r="U586" s="8">
        <v>77.742320001630404</v>
      </c>
      <c r="V586" t="s">
        <v>631</v>
      </c>
      <c r="W586" s="8">
        <v>89.684880000000007</v>
      </c>
      <c r="X586">
        <v>39131712</v>
      </c>
      <c r="Y586" s="8">
        <v>89.684880000000007</v>
      </c>
      <c r="Z586">
        <v>39131712</v>
      </c>
      <c r="AA586" s="8">
        <v>89.684880000000007</v>
      </c>
      <c r="AB586" t="b">
        <f t="shared" si="9"/>
        <v>0</v>
      </c>
    </row>
    <row r="587" spans="1:28" ht="43.2" x14ac:dyDescent="0.3">
      <c r="A587">
        <v>897635</v>
      </c>
      <c r="B587" s="2" t="s">
        <v>1725</v>
      </c>
      <c r="C587" t="s">
        <v>1720</v>
      </c>
      <c r="D587">
        <v>111.044</v>
      </c>
      <c r="AB587" t="b">
        <f t="shared" si="9"/>
        <v>0</v>
      </c>
    </row>
    <row r="588" spans="1:28" ht="43.2" x14ac:dyDescent="0.3">
      <c r="A588">
        <v>897636</v>
      </c>
      <c r="B588" s="2" t="s">
        <v>1719</v>
      </c>
      <c r="C588" t="s">
        <v>1720</v>
      </c>
      <c r="D588">
        <v>111.023</v>
      </c>
      <c r="AB588" t="b">
        <f t="shared" si="9"/>
        <v>0</v>
      </c>
    </row>
    <row r="589" spans="1:28" x14ac:dyDescent="0.3">
      <c r="A589">
        <v>897637</v>
      </c>
      <c r="B589" t="s">
        <v>1726</v>
      </c>
      <c r="C589" t="s">
        <v>1720</v>
      </c>
      <c r="D589">
        <v>111.023</v>
      </c>
      <c r="AB589" t="b">
        <f t="shared" si="9"/>
        <v>0</v>
      </c>
    </row>
    <row r="590" spans="1:28" x14ac:dyDescent="0.3">
      <c r="A590">
        <v>897638</v>
      </c>
      <c r="B590" t="s">
        <v>1727</v>
      </c>
      <c r="C590" t="s">
        <v>207</v>
      </c>
      <c r="D590" t="s">
        <v>1728</v>
      </c>
      <c r="G590">
        <v>307796</v>
      </c>
      <c r="H590" t="s">
        <v>1728</v>
      </c>
      <c r="I590" t="s">
        <v>631</v>
      </c>
      <c r="J590" s="6" t="s">
        <v>1729</v>
      </c>
      <c r="K590">
        <v>39131712</v>
      </c>
      <c r="M590">
        <v>110844</v>
      </c>
      <c r="N590" t="s">
        <v>1730</v>
      </c>
      <c r="O590" t="s">
        <v>631</v>
      </c>
      <c r="Q590" t="s">
        <v>86</v>
      </c>
      <c r="R590" s="9">
        <v>0.77109527559477897</v>
      </c>
      <c r="S590" s="9">
        <v>91.054763779738906</v>
      </c>
      <c r="T590" s="9">
        <v>89.054763779738906</v>
      </c>
      <c r="U590" s="9">
        <v>82.219055118955893</v>
      </c>
      <c r="V590" t="s">
        <v>631</v>
      </c>
      <c r="W590" s="8">
        <v>89.403147000000004</v>
      </c>
      <c r="X590">
        <v>39131712</v>
      </c>
      <c r="Y590" s="8">
        <v>89.403147000000004</v>
      </c>
      <c r="Z590">
        <v>39131712</v>
      </c>
      <c r="AA590" s="8">
        <v>89.403147000000004</v>
      </c>
      <c r="AB590" t="b">
        <f t="shared" si="9"/>
        <v>0</v>
      </c>
    </row>
    <row r="591" spans="1:28" x14ac:dyDescent="0.3">
      <c r="A591">
        <v>897639</v>
      </c>
      <c r="B591" t="s">
        <v>1731</v>
      </c>
      <c r="C591" t="s">
        <v>1720</v>
      </c>
      <c r="D591">
        <v>111.044</v>
      </c>
      <c r="AB591" t="b">
        <f t="shared" si="9"/>
        <v>0</v>
      </c>
    </row>
    <row r="592" spans="1:28" x14ac:dyDescent="0.3">
      <c r="A592">
        <v>897640</v>
      </c>
      <c r="B592" t="s">
        <v>1732</v>
      </c>
      <c r="C592" t="s">
        <v>207</v>
      </c>
      <c r="D592" t="s">
        <v>1733</v>
      </c>
      <c r="G592">
        <v>298913</v>
      </c>
      <c r="H592" t="s">
        <v>1733</v>
      </c>
      <c r="I592" t="s">
        <v>631</v>
      </c>
      <c r="J592" s="6" t="s">
        <v>1734</v>
      </c>
      <c r="K592">
        <v>39131712</v>
      </c>
      <c r="M592">
        <v>6460</v>
      </c>
      <c r="N592" t="s">
        <v>1735</v>
      </c>
      <c r="O592" t="s">
        <v>631</v>
      </c>
      <c r="Q592" t="s">
        <v>86</v>
      </c>
      <c r="R592" s="9">
        <v>0.77409272452216205</v>
      </c>
      <c r="S592" s="9">
        <v>91.204636226108093</v>
      </c>
      <c r="T592" s="9">
        <v>89.204636226108093</v>
      </c>
      <c r="U592" s="9">
        <v>82.8185449044325</v>
      </c>
      <c r="V592" t="s">
        <v>631</v>
      </c>
      <c r="W592" s="8">
        <v>90.213269999999994</v>
      </c>
      <c r="X592">
        <v>39131712</v>
      </c>
      <c r="Y592" s="8">
        <v>90.213269999999994</v>
      </c>
      <c r="Z592">
        <v>39131712</v>
      </c>
      <c r="AA592" s="8">
        <v>90.213269999999994</v>
      </c>
      <c r="AB592" t="b">
        <f t="shared" si="9"/>
        <v>0</v>
      </c>
    </row>
    <row r="593" spans="1:28" x14ac:dyDescent="0.3">
      <c r="A593">
        <v>897641</v>
      </c>
      <c r="B593" t="s">
        <v>1727</v>
      </c>
      <c r="C593" t="s">
        <v>207</v>
      </c>
      <c r="D593" t="s">
        <v>1728</v>
      </c>
      <c r="G593">
        <v>307796</v>
      </c>
      <c r="H593" t="s">
        <v>1728</v>
      </c>
      <c r="I593" t="s">
        <v>631</v>
      </c>
      <c r="J593" s="6" t="s">
        <v>1729</v>
      </c>
      <c r="K593">
        <v>39131712</v>
      </c>
      <c r="M593">
        <v>110844</v>
      </c>
      <c r="N593" t="s">
        <v>1730</v>
      </c>
      <c r="O593" t="s">
        <v>631</v>
      </c>
      <c r="Q593" t="s">
        <v>86</v>
      </c>
      <c r="R593" s="9">
        <v>0.77109527559477897</v>
      </c>
      <c r="S593" s="9">
        <v>91.054763779738906</v>
      </c>
      <c r="T593" s="9">
        <v>89.054763779738906</v>
      </c>
      <c r="U593" s="9">
        <v>82.219055118955893</v>
      </c>
      <c r="V593" t="s">
        <v>631</v>
      </c>
      <c r="W593" s="8">
        <v>89.403147000000004</v>
      </c>
      <c r="X593">
        <v>39131712</v>
      </c>
      <c r="Y593" s="8">
        <v>89.403147000000004</v>
      </c>
      <c r="Z593">
        <v>39131712</v>
      </c>
      <c r="AA593" s="8">
        <v>89.403147000000004</v>
      </c>
      <c r="AB593" t="b">
        <f t="shared" si="9"/>
        <v>0</v>
      </c>
    </row>
    <row r="594" spans="1:28" x14ac:dyDescent="0.3">
      <c r="A594">
        <v>897642</v>
      </c>
      <c r="B594" t="s">
        <v>1736</v>
      </c>
      <c r="C594" t="s">
        <v>207</v>
      </c>
      <c r="D594" t="s">
        <v>1737</v>
      </c>
      <c r="G594">
        <v>300732</v>
      </c>
      <c r="H594" t="s">
        <v>1737</v>
      </c>
      <c r="I594" t="s">
        <v>631</v>
      </c>
      <c r="J594" s="6" t="s">
        <v>1738</v>
      </c>
      <c r="K594">
        <v>39131712</v>
      </c>
      <c r="M594">
        <v>110853</v>
      </c>
      <c r="N594" t="s">
        <v>1739</v>
      </c>
      <c r="O594" t="s">
        <v>631</v>
      </c>
      <c r="Q594" t="s">
        <v>86</v>
      </c>
      <c r="R594" s="8">
        <v>0.75189281389955098</v>
      </c>
      <c r="S594" s="8">
        <v>100</v>
      </c>
      <c r="T594" s="9">
        <v>94.0946406949775</v>
      </c>
      <c r="U594" s="8">
        <v>84.378562779910197</v>
      </c>
      <c r="V594" t="s">
        <v>631</v>
      </c>
      <c r="W594" s="8">
        <v>88.343689999999995</v>
      </c>
      <c r="X594">
        <v>39131712</v>
      </c>
      <c r="Y594" s="8">
        <v>88.343689999999995</v>
      </c>
      <c r="Z594">
        <v>39131712</v>
      </c>
      <c r="AA594" s="8">
        <v>88.343689999999995</v>
      </c>
      <c r="AB594" t="b">
        <f t="shared" si="9"/>
        <v>0</v>
      </c>
    </row>
    <row r="595" spans="1:28" x14ac:dyDescent="0.3">
      <c r="A595">
        <v>897643</v>
      </c>
      <c r="B595" t="s">
        <v>1698</v>
      </c>
      <c r="C595" t="s">
        <v>207</v>
      </c>
      <c r="D595" t="s">
        <v>1699</v>
      </c>
      <c r="G595">
        <v>300215</v>
      </c>
      <c r="H595" t="s">
        <v>1699</v>
      </c>
      <c r="I595" t="s">
        <v>631</v>
      </c>
      <c r="J595" s="6" t="s">
        <v>1700</v>
      </c>
      <c r="K595">
        <v>39131713</v>
      </c>
      <c r="M595">
        <v>41596</v>
      </c>
      <c r="N595" t="s">
        <v>1701</v>
      </c>
      <c r="O595" t="s">
        <v>631</v>
      </c>
      <c r="Q595" t="s">
        <v>86</v>
      </c>
      <c r="R595" s="9">
        <v>0.92104383048526295</v>
      </c>
      <c r="S595" s="9">
        <v>93.552191524263094</v>
      </c>
      <c r="T595" s="9">
        <v>93.552191524263094</v>
      </c>
      <c r="U595" s="8">
        <v>100</v>
      </c>
      <c r="V595" t="s">
        <v>631</v>
      </c>
      <c r="W595" s="8">
        <v>92.682176999999996</v>
      </c>
      <c r="X595">
        <v>39131713</v>
      </c>
      <c r="Y595" s="8">
        <v>92.682176999999996</v>
      </c>
      <c r="Z595">
        <v>39131713</v>
      </c>
      <c r="AA595" s="8">
        <v>92.629730499999994</v>
      </c>
      <c r="AB595" t="b">
        <f t="shared" si="9"/>
        <v>0</v>
      </c>
    </row>
    <row r="596" spans="1:28" x14ac:dyDescent="0.3">
      <c r="A596">
        <v>897644</v>
      </c>
      <c r="B596" t="s">
        <v>1707</v>
      </c>
      <c r="C596" t="s">
        <v>207</v>
      </c>
      <c r="D596" t="s">
        <v>1708</v>
      </c>
      <c r="G596">
        <v>341164</v>
      </c>
      <c r="H596" t="s">
        <v>1708</v>
      </c>
      <c r="I596" t="s">
        <v>631</v>
      </c>
      <c r="J596" s="6" t="s">
        <v>1709</v>
      </c>
      <c r="K596">
        <v>39131713</v>
      </c>
      <c r="L596" t="s">
        <v>1710</v>
      </c>
      <c r="M596">
        <v>265547</v>
      </c>
      <c r="N596" t="s">
        <v>1711</v>
      </c>
      <c r="O596" t="s">
        <v>631</v>
      </c>
      <c r="Q596" t="s">
        <v>86</v>
      </c>
      <c r="R596" s="9">
        <v>0.94727692304413902</v>
      </c>
      <c r="S596" s="9">
        <v>84.863846152206904</v>
      </c>
      <c r="T596" s="9">
        <v>88.863846152206904</v>
      </c>
      <c r="U596" s="8">
        <v>100</v>
      </c>
      <c r="V596" t="s">
        <v>631</v>
      </c>
      <c r="W596" s="8">
        <v>94.991754999999998</v>
      </c>
      <c r="X596">
        <v>39131713</v>
      </c>
      <c r="Y596" s="8">
        <v>94.991754999999998</v>
      </c>
      <c r="Z596">
        <v>39131713</v>
      </c>
      <c r="AA596" s="8">
        <v>93.555597500000005</v>
      </c>
      <c r="AB596" t="b">
        <f t="shared" si="9"/>
        <v>1</v>
      </c>
    </row>
    <row r="597" spans="1:28" x14ac:dyDescent="0.3">
      <c r="A597">
        <v>897645</v>
      </c>
      <c r="B597" t="s">
        <v>1736</v>
      </c>
      <c r="C597" t="s">
        <v>207</v>
      </c>
      <c r="D597" t="s">
        <v>1737</v>
      </c>
      <c r="G597">
        <v>300732</v>
      </c>
      <c r="H597" t="s">
        <v>1737</v>
      </c>
      <c r="I597" t="s">
        <v>631</v>
      </c>
      <c r="J597" s="6" t="s">
        <v>1738</v>
      </c>
      <c r="K597">
        <v>39131712</v>
      </c>
      <c r="M597">
        <v>110853</v>
      </c>
      <c r="N597" t="s">
        <v>1739</v>
      </c>
      <c r="O597" t="s">
        <v>631</v>
      </c>
      <c r="Q597" t="s">
        <v>86</v>
      </c>
      <c r="R597" s="8">
        <v>0.75189281389955098</v>
      </c>
      <c r="S597" s="8">
        <v>100</v>
      </c>
      <c r="T597" s="9">
        <v>94.0946406949775</v>
      </c>
      <c r="U597" s="8">
        <v>84.378562779910197</v>
      </c>
      <c r="V597" t="s">
        <v>631</v>
      </c>
      <c r="W597" s="8">
        <v>88.343689999999995</v>
      </c>
      <c r="X597">
        <v>39131712</v>
      </c>
      <c r="Y597" s="8">
        <v>88.343689999999995</v>
      </c>
      <c r="Z597">
        <v>39131712</v>
      </c>
      <c r="AA597" s="8">
        <v>88.343689999999995</v>
      </c>
      <c r="AB597" t="b">
        <f t="shared" si="9"/>
        <v>0</v>
      </c>
    </row>
    <row r="598" spans="1:28" x14ac:dyDescent="0.3">
      <c r="A598">
        <v>897646</v>
      </c>
      <c r="B598" t="s">
        <v>1727</v>
      </c>
      <c r="C598" t="s">
        <v>207</v>
      </c>
      <c r="D598" t="s">
        <v>1728</v>
      </c>
      <c r="G598">
        <v>307796</v>
      </c>
      <c r="H598" t="s">
        <v>1728</v>
      </c>
      <c r="I598" t="s">
        <v>631</v>
      </c>
      <c r="J598" s="6" t="s">
        <v>1729</v>
      </c>
      <c r="K598">
        <v>39131712</v>
      </c>
      <c r="M598">
        <v>110844</v>
      </c>
      <c r="N598" t="s">
        <v>1730</v>
      </c>
      <c r="O598" t="s">
        <v>631</v>
      </c>
      <c r="Q598" t="s">
        <v>86</v>
      </c>
      <c r="R598" s="9">
        <v>0.77109527559477897</v>
      </c>
      <c r="S598" s="9">
        <v>91.054763779738906</v>
      </c>
      <c r="T598" s="9">
        <v>89.054763779738906</v>
      </c>
      <c r="U598" s="9">
        <v>82.219055118955893</v>
      </c>
      <c r="V598" t="s">
        <v>631</v>
      </c>
      <c r="W598" s="8">
        <v>89.403147000000004</v>
      </c>
      <c r="X598">
        <v>39131712</v>
      </c>
      <c r="Y598" s="8">
        <v>89.403147000000004</v>
      </c>
      <c r="Z598">
        <v>39131712</v>
      </c>
      <c r="AA598" s="8">
        <v>89.403147000000004</v>
      </c>
      <c r="AB598" t="b">
        <f t="shared" si="9"/>
        <v>0</v>
      </c>
    </row>
    <row r="599" spans="1:28" x14ac:dyDescent="0.3">
      <c r="A599">
        <v>897647</v>
      </c>
      <c r="B599" t="s">
        <v>1698</v>
      </c>
      <c r="C599" t="s">
        <v>207</v>
      </c>
      <c r="D599" t="s">
        <v>1699</v>
      </c>
      <c r="G599">
        <v>300215</v>
      </c>
      <c r="H599" t="s">
        <v>1699</v>
      </c>
      <c r="I599" t="s">
        <v>631</v>
      </c>
      <c r="J599" s="6" t="s">
        <v>1700</v>
      </c>
      <c r="K599">
        <v>39131713</v>
      </c>
      <c r="M599">
        <v>41596</v>
      </c>
      <c r="N599" t="s">
        <v>1701</v>
      </c>
      <c r="O599" t="s">
        <v>631</v>
      </c>
      <c r="Q599" t="s">
        <v>86</v>
      </c>
      <c r="R599" s="9">
        <v>0.92095445284115096</v>
      </c>
      <c r="S599" s="9">
        <v>93.547722642057494</v>
      </c>
      <c r="T599" s="9">
        <v>93.547722642057494</v>
      </c>
      <c r="U599" s="8">
        <v>100</v>
      </c>
      <c r="V599" t="s">
        <v>631</v>
      </c>
      <c r="W599" s="9">
        <v>92.674493999999996</v>
      </c>
      <c r="X599">
        <v>39131713</v>
      </c>
      <c r="Y599" s="9">
        <v>92.674493999999996</v>
      </c>
      <c r="Z599">
        <v>39131713</v>
      </c>
      <c r="AA599" s="8">
        <v>92.629730499999994</v>
      </c>
      <c r="AB599" t="b">
        <f t="shared" si="9"/>
        <v>0</v>
      </c>
    </row>
    <row r="600" spans="1:28" x14ac:dyDescent="0.3">
      <c r="A600">
        <v>897648</v>
      </c>
      <c r="B600" t="s">
        <v>1707</v>
      </c>
      <c r="C600" t="s">
        <v>207</v>
      </c>
      <c r="D600" t="s">
        <v>1708</v>
      </c>
      <c r="G600">
        <v>341164</v>
      </c>
      <c r="H600" t="s">
        <v>1708</v>
      </c>
      <c r="I600" t="s">
        <v>631</v>
      </c>
      <c r="J600" s="6" t="s">
        <v>1709</v>
      </c>
      <c r="K600">
        <v>39131713</v>
      </c>
      <c r="L600" t="s">
        <v>1710</v>
      </c>
      <c r="M600">
        <v>265547</v>
      </c>
      <c r="N600" t="s">
        <v>1711</v>
      </c>
      <c r="O600" t="s">
        <v>631</v>
      </c>
      <c r="Q600" t="s">
        <v>86</v>
      </c>
      <c r="R600" s="9">
        <v>0.94727692304413902</v>
      </c>
      <c r="S600" s="9">
        <v>84.863846152206904</v>
      </c>
      <c r="T600" s="9">
        <v>88.863846152206904</v>
      </c>
      <c r="U600" s="8">
        <v>100</v>
      </c>
      <c r="V600" t="s">
        <v>631</v>
      </c>
      <c r="W600" s="8">
        <v>94.991754999999998</v>
      </c>
      <c r="X600">
        <v>39131713</v>
      </c>
      <c r="Y600" s="8">
        <v>94.991754999999998</v>
      </c>
      <c r="Z600">
        <v>39131713</v>
      </c>
      <c r="AA600" s="8">
        <v>93.555597500000005</v>
      </c>
      <c r="AB600" t="b">
        <f t="shared" si="9"/>
        <v>1</v>
      </c>
    </row>
    <row r="601" spans="1:28" x14ac:dyDescent="0.3">
      <c r="A601">
        <v>897649</v>
      </c>
      <c r="B601" t="s">
        <v>1740</v>
      </c>
      <c r="C601" t="s">
        <v>207</v>
      </c>
      <c r="D601" t="s">
        <v>1722</v>
      </c>
      <c r="G601">
        <v>314369</v>
      </c>
      <c r="H601" t="s">
        <v>1722</v>
      </c>
      <c r="I601" t="s">
        <v>631</v>
      </c>
      <c r="J601" s="6" t="s">
        <v>1723</v>
      </c>
      <c r="K601">
        <v>39131712</v>
      </c>
      <c r="M601">
        <v>110839</v>
      </c>
      <c r="N601" t="s">
        <v>1724</v>
      </c>
      <c r="O601" t="s">
        <v>631</v>
      </c>
      <c r="Q601" t="s">
        <v>86</v>
      </c>
      <c r="R601" s="9">
        <v>0.76326662582857696</v>
      </c>
      <c r="S601" s="9">
        <v>90.663331291428804</v>
      </c>
      <c r="T601" s="9">
        <v>88.663331291428804</v>
      </c>
      <c r="U601" s="9">
        <v>80.653325165715501</v>
      </c>
      <c r="V601" t="s">
        <v>631</v>
      </c>
      <c r="W601" s="9">
        <v>91.775905999999907</v>
      </c>
      <c r="X601">
        <v>39131712</v>
      </c>
      <c r="Y601" s="9">
        <v>91.775905999999907</v>
      </c>
      <c r="Z601">
        <v>39131712</v>
      </c>
      <c r="AA601" s="9">
        <v>91.775905999999907</v>
      </c>
      <c r="AB601" t="b">
        <f t="shared" si="9"/>
        <v>0</v>
      </c>
    </row>
    <row r="602" spans="1:28" ht="43.2" x14ac:dyDescent="0.3">
      <c r="A602">
        <v>897650</v>
      </c>
      <c r="B602" s="2" t="s">
        <v>1741</v>
      </c>
      <c r="C602" t="s">
        <v>207</v>
      </c>
      <c r="D602" t="s">
        <v>1742</v>
      </c>
      <c r="G602">
        <v>313094</v>
      </c>
      <c r="H602" t="s">
        <v>1743</v>
      </c>
      <c r="I602" t="s">
        <v>631</v>
      </c>
      <c r="J602" s="6" t="s">
        <v>1744</v>
      </c>
      <c r="K602">
        <v>39121717</v>
      </c>
      <c r="M602">
        <v>7898</v>
      </c>
      <c r="N602" t="s">
        <v>1745</v>
      </c>
      <c r="O602" t="s">
        <v>631</v>
      </c>
      <c r="Q602" t="s">
        <v>86</v>
      </c>
      <c r="R602" s="9">
        <v>0.80812130562567996</v>
      </c>
      <c r="S602" s="9">
        <v>92.906065281284</v>
      </c>
      <c r="T602" s="9">
        <v>90.906065281284</v>
      </c>
      <c r="U602" s="9">
        <v>89.624261125136101</v>
      </c>
      <c r="V602" t="s">
        <v>631</v>
      </c>
      <c r="W602" s="8">
        <v>92.966149999999999</v>
      </c>
      <c r="X602">
        <v>39121717</v>
      </c>
      <c r="Y602" s="8">
        <v>92.966149999999999</v>
      </c>
      <c r="Z602">
        <v>39121717</v>
      </c>
      <c r="AA602" s="8">
        <v>91.754165</v>
      </c>
      <c r="AB602" t="b">
        <f t="shared" si="9"/>
        <v>1</v>
      </c>
    </row>
    <row r="603" spans="1:28" x14ac:dyDescent="0.3">
      <c r="A603">
        <v>897651</v>
      </c>
      <c r="B603" t="s">
        <v>1746</v>
      </c>
      <c r="C603" t="s">
        <v>207</v>
      </c>
      <c r="D603" t="s">
        <v>1747</v>
      </c>
      <c r="G603">
        <v>342611</v>
      </c>
      <c r="H603" t="s">
        <v>1748</v>
      </c>
      <c r="I603" t="s">
        <v>631</v>
      </c>
      <c r="J603" s="6" t="s">
        <v>1749</v>
      </c>
      <c r="K603">
        <v>39121400</v>
      </c>
      <c r="L603" t="s">
        <v>1750</v>
      </c>
      <c r="M603">
        <v>272518</v>
      </c>
      <c r="N603" t="s">
        <v>1751</v>
      </c>
      <c r="O603" t="s">
        <v>631</v>
      </c>
      <c r="Q603" t="s">
        <v>86</v>
      </c>
      <c r="R603" s="9">
        <v>0.76850154089320299</v>
      </c>
      <c r="S603" s="9">
        <v>95.9250770446601</v>
      </c>
      <c r="T603" s="9">
        <v>91.9250770446601</v>
      </c>
      <c r="U603" s="9">
        <v>84.700308178640597</v>
      </c>
      <c r="V603" t="s">
        <v>631</v>
      </c>
      <c r="W603" s="8">
        <v>89.965826000000007</v>
      </c>
      <c r="X603">
        <v>39121400</v>
      </c>
      <c r="Y603" s="8">
        <v>89.965826000000007</v>
      </c>
      <c r="Z603">
        <v>39121400</v>
      </c>
      <c r="AA603" s="8">
        <v>89.965826000000007</v>
      </c>
      <c r="AB603" t="b">
        <f t="shared" si="9"/>
        <v>0</v>
      </c>
    </row>
    <row r="604" spans="1:28" ht="43.2" x14ac:dyDescent="0.3">
      <c r="A604">
        <v>897652</v>
      </c>
      <c r="B604" s="2" t="s">
        <v>1752</v>
      </c>
      <c r="C604" t="s">
        <v>207</v>
      </c>
      <c r="D604" t="s">
        <v>1753</v>
      </c>
      <c r="V604" t="s">
        <v>631</v>
      </c>
      <c r="W604" s="8">
        <v>88.352909999999994</v>
      </c>
      <c r="X604">
        <v>39121717</v>
      </c>
      <c r="Y604" s="8">
        <v>88.352909999999994</v>
      </c>
      <c r="Z604">
        <v>39121717</v>
      </c>
      <c r="AA604" s="8">
        <v>88.352909999999994</v>
      </c>
      <c r="AB604" t="b">
        <f t="shared" si="9"/>
        <v>0</v>
      </c>
    </row>
    <row r="605" spans="1:28" x14ac:dyDescent="0.3">
      <c r="A605">
        <v>897653</v>
      </c>
      <c r="B605" t="s">
        <v>1754</v>
      </c>
      <c r="C605" t="s">
        <v>1167</v>
      </c>
      <c r="D605" t="s">
        <v>1755</v>
      </c>
      <c r="G605">
        <v>336726</v>
      </c>
      <c r="H605">
        <v>92578</v>
      </c>
      <c r="I605" t="s">
        <v>73</v>
      </c>
      <c r="J605" s="5">
        <v>783310101574</v>
      </c>
      <c r="K605">
        <v>27112826</v>
      </c>
      <c r="L605" t="s">
        <v>1756</v>
      </c>
      <c r="M605">
        <v>259036</v>
      </c>
      <c r="N605" t="s">
        <v>1757</v>
      </c>
      <c r="O605" t="s">
        <v>73</v>
      </c>
      <c r="Q605" t="s">
        <v>86</v>
      </c>
      <c r="R605" s="9">
        <v>0.86777566447041199</v>
      </c>
      <c r="S605" s="8">
        <v>75.888783223520605</v>
      </c>
      <c r="T605" s="8">
        <v>81.888783223520605</v>
      </c>
      <c r="U605" s="9">
        <v>89.555132894082405</v>
      </c>
      <c r="V605" t="s">
        <v>73</v>
      </c>
      <c r="W605" s="9">
        <v>90.617823999999999</v>
      </c>
      <c r="X605">
        <v>27112800</v>
      </c>
      <c r="Y605" s="9">
        <v>52.993031999999999</v>
      </c>
      <c r="Z605">
        <v>27112800</v>
      </c>
      <c r="AA605" s="9">
        <v>52.993031999999999</v>
      </c>
      <c r="AB605" t="b">
        <f t="shared" si="9"/>
        <v>0</v>
      </c>
    </row>
    <row r="606" spans="1:28" ht="43.2" x14ac:dyDescent="0.3">
      <c r="A606">
        <v>897654</v>
      </c>
      <c r="B606" s="2" t="s">
        <v>1758</v>
      </c>
      <c r="C606" t="s">
        <v>1167</v>
      </c>
      <c r="D606" t="s">
        <v>1759</v>
      </c>
      <c r="G606">
        <v>336723</v>
      </c>
      <c r="H606">
        <v>925011</v>
      </c>
      <c r="I606" t="s">
        <v>73</v>
      </c>
      <c r="J606" s="5">
        <v>783310101635</v>
      </c>
      <c r="K606">
        <v>27112811</v>
      </c>
      <c r="L606" t="s">
        <v>1760</v>
      </c>
      <c r="M606">
        <v>259034</v>
      </c>
      <c r="N606" t="s">
        <v>1761</v>
      </c>
      <c r="O606" t="s">
        <v>73</v>
      </c>
      <c r="Q606" t="s">
        <v>86</v>
      </c>
      <c r="R606" s="9">
        <v>0.95597663447023395</v>
      </c>
      <c r="S606" s="9">
        <v>85.298831723511697</v>
      </c>
      <c r="T606" s="9">
        <v>89.298831723511697</v>
      </c>
      <c r="U606" s="8">
        <v>100</v>
      </c>
      <c r="V606" t="s">
        <v>73</v>
      </c>
      <c r="W606" s="8">
        <v>95.783293</v>
      </c>
      <c r="X606">
        <v>27112811</v>
      </c>
      <c r="Y606" s="9">
        <v>57.4699758</v>
      </c>
      <c r="Z606">
        <v>27112811</v>
      </c>
      <c r="AA606" s="8">
        <v>95.783293</v>
      </c>
      <c r="AB606" t="b">
        <f t="shared" si="9"/>
        <v>0</v>
      </c>
    </row>
    <row r="607" spans="1:28" ht="43.2" x14ac:dyDescent="0.3">
      <c r="A607">
        <v>897655</v>
      </c>
      <c r="B607" s="2" t="s">
        <v>1762</v>
      </c>
      <c r="C607" t="s">
        <v>207</v>
      </c>
      <c r="D607" t="s">
        <v>1763</v>
      </c>
      <c r="G607">
        <v>341244</v>
      </c>
      <c r="H607" t="s">
        <v>1764</v>
      </c>
      <c r="I607" t="s">
        <v>631</v>
      </c>
      <c r="J607" s="6" t="s">
        <v>1765</v>
      </c>
      <c r="K607">
        <v>39121400</v>
      </c>
      <c r="L607" t="s">
        <v>1766</v>
      </c>
      <c r="M607">
        <v>272519</v>
      </c>
      <c r="N607" t="s">
        <v>1767</v>
      </c>
      <c r="O607" t="s">
        <v>631</v>
      </c>
      <c r="Q607" t="s">
        <v>86</v>
      </c>
      <c r="R607" s="9">
        <v>0.76025924472378803</v>
      </c>
      <c r="S607" s="9">
        <v>90.512962236189395</v>
      </c>
      <c r="T607" s="9">
        <v>88.512962236189395</v>
      </c>
      <c r="U607" s="9">
        <v>80.051848944757694</v>
      </c>
      <c r="V607" t="s">
        <v>631</v>
      </c>
      <c r="W607" s="8">
        <v>89.367130000000003</v>
      </c>
      <c r="X607">
        <v>39121400</v>
      </c>
      <c r="Y607" s="8">
        <v>89.367130000000003</v>
      </c>
      <c r="Z607">
        <v>39121400</v>
      </c>
      <c r="AA607" s="8">
        <v>89.367130000000003</v>
      </c>
      <c r="AB607" t="b">
        <f t="shared" si="9"/>
        <v>0</v>
      </c>
    </row>
    <row r="608" spans="1:28" ht="57.6" x14ac:dyDescent="0.3">
      <c r="A608">
        <v>897656</v>
      </c>
      <c r="B608" s="2" t="s">
        <v>1768</v>
      </c>
      <c r="C608" t="s">
        <v>207</v>
      </c>
      <c r="D608" t="s">
        <v>1769</v>
      </c>
      <c r="V608" t="s">
        <v>631</v>
      </c>
      <c r="W608" s="9">
        <v>86.0423499999999</v>
      </c>
      <c r="X608">
        <v>39121703</v>
      </c>
      <c r="Y608" s="9">
        <v>86.0423499999999</v>
      </c>
      <c r="Z608">
        <v>39121703</v>
      </c>
      <c r="AA608" s="9">
        <v>86.0423499999999</v>
      </c>
      <c r="AB608" t="b">
        <f t="shared" si="9"/>
        <v>0</v>
      </c>
    </row>
    <row r="609" spans="1:28" ht="43.2" x14ac:dyDescent="0.3">
      <c r="A609">
        <v>897657</v>
      </c>
      <c r="B609" s="2" t="s">
        <v>1770</v>
      </c>
      <c r="C609" t="s">
        <v>1184</v>
      </c>
      <c r="D609" t="s">
        <v>1771</v>
      </c>
      <c r="O609" t="s">
        <v>683</v>
      </c>
      <c r="P609" t="s">
        <v>1772</v>
      </c>
      <c r="Q609" t="s">
        <v>40</v>
      </c>
      <c r="T609" s="8">
        <v>70</v>
      </c>
      <c r="AB609" t="b">
        <f t="shared" si="9"/>
        <v>0</v>
      </c>
    </row>
    <row r="610" spans="1:28" ht="43.2" x14ac:dyDescent="0.3">
      <c r="A610">
        <v>897658</v>
      </c>
      <c r="B610" s="2" t="s">
        <v>1773</v>
      </c>
      <c r="C610" t="s">
        <v>1184</v>
      </c>
      <c r="D610" t="s">
        <v>1774</v>
      </c>
      <c r="X610">
        <v>39121604</v>
      </c>
      <c r="Y610" s="8">
        <v>80.498559999999998</v>
      </c>
      <c r="Z610">
        <v>39121604</v>
      </c>
      <c r="AA610" s="8">
        <v>80.498559999999998</v>
      </c>
      <c r="AB610" t="b">
        <f t="shared" si="9"/>
        <v>0</v>
      </c>
    </row>
    <row r="611" spans="1:28" ht="57.6" x14ac:dyDescent="0.3">
      <c r="A611">
        <v>897659</v>
      </c>
      <c r="B611" s="2" t="s">
        <v>1775</v>
      </c>
      <c r="C611" t="s">
        <v>1184</v>
      </c>
      <c r="D611" t="s">
        <v>1776</v>
      </c>
      <c r="X611">
        <v>39121624</v>
      </c>
      <c r="Y611" s="8">
        <v>77.523803999999998</v>
      </c>
      <c r="Z611">
        <v>39121624</v>
      </c>
      <c r="AA611" s="8">
        <v>77.523803999999998</v>
      </c>
      <c r="AB611" t="b">
        <f t="shared" si="9"/>
        <v>0</v>
      </c>
    </row>
    <row r="612" spans="1:28" x14ac:dyDescent="0.3">
      <c r="A612">
        <v>897660</v>
      </c>
      <c r="B612" t="s">
        <v>1777</v>
      </c>
      <c r="C612" t="s">
        <v>1152</v>
      </c>
      <c r="D612" t="s">
        <v>1778</v>
      </c>
      <c r="O612" t="s">
        <v>656</v>
      </c>
      <c r="P612" t="s">
        <v>1152</v>
      </c>
      <c r="Q612" t="s">
        <v>40</v>
      </c>
      <c r="T612" s="8">
        <v>60</v>
      </c>
      <c r="AB612" t="b">
        <f t="shared" si="9"/>
        <v>0</v>
      </c>
    </row>
    <row r="613" spans="1:28" x14ac:dyDescent="0.3">
      <c r="A613">
        <v>897662</v>
      </c>
      <c r="B613" t="s">
        <v>1779</v>
      </c>
      <c r="C613" t="s">
        <v>1223</v>
      </c>
      <c r="D613" t="s">
        <v>1780</v>
      </c>
      <c r="O613" t="s">
        <v>414</v>
      </c>
      <c r="P613" t="s">
        <v>1223</v>
      </c>
      <c r="Q613" t="s">
        <v>40</v>
      </c>
      <c r="T613" s="8">
        <v>60</v>
      </c>
      <c r="V613" t="s">
        <v>414</v>
      </c>
      <c r="W613" s="9">
        <v>85.127969999999905</v>
      </c>
      <c r="X613">
        <v>39121432</v>
      </c>
      <c r="Y613" s="8">
        <v>84.651269999999997</v>
      </c>
      <c r="Z613">
        <v>39121432</v>
      </c>
      <c r="AA613" s="8">
        <v>84.651269999999997</v>
      </c>
      <c r="AB613" t="b">
        <f t="shared" si="9"/>
        <v>0</v>
      </c>
    </row>
    <row r="614" spans="1:28" ht="57.6" x14ac:dyDescent="0.3">
      <c r="A614">
        <v>897663</v>
      </c>
      <c r="B614" s="2" t="s">
        <v>1781</v>
      </c>
      <c r="C614" t="s">
        <v>1713</v>
      </c>
      <c r="D614">
        <v>39220</v>
      </c>
      <c r="G614">
        <v>288470</v>
      </c>
      <c r="H614">
        <v>39220</v>
      </c>
      <c r="I614" t="s">
        <v>250</v>
      </c>
      <c r="J614" s="6" t="s">
        <v>1782</v>
      </c>
      <c r="K614">
        <v>26112002</v>
      </c>
      <c r="M614">
        <v>22289</v>
      </c>
      <c r="N614" t="s">
        <v>1783</v>
      </c>
      <c r="O614" t="s">
        <v>250</v>
      </c>
      <c r="Q614" t="s">
        <v>86</v>
      </c>
      <c r="R614" s="9">
        <v>0.52240882115184595</v>
      </c>
      <c r="S614" s="8">
        <v>58.620441057592302</v>
      </c>
      <c r="T614" s="8">
        <v>64.620441057592302</v>
      </c>
      <c r="U614" s="8">
        <v>20.481764230369201</v>
      </c>
      <c r="AB614" t="b">
        <f t="shared" si="9"/>
        <v>0</v>
      </c>
    </row>
    <row r="615" spans="1:28" ht="43.2" x14ac:dyDescent="0.3">
      <c r="A615">
        <v>897664</v>
      </c>
      <c r="B615" s="2" t="s">
        <v>1784</v>
      </c>
      <c r="C615" t="s">
        <v>207</v>
      </c>
      <c r="D615" t="s">
        <v>1785</v>
      </c>
      <c r="G615">
        <v>341180</v>
      </c>
      <c r="H615" t="s">
        <v>1786</v>
      </c>
      <c r="I615" t="s">
        <v>631</v>
      </c>
      <c r="J615" s="6" t="s">
        <v>1787</v>
      </c>
      <c r="K615">
        <v>39121400</v>
      </c>
      <c r="L615" t="s">
        <v>1788</v>
      </c>
      <c r="M615">
        <v>265570</v>
      </c>
      <c r="N615" t="s">
        <v>1789</v>
      </c>
      <c r="O615" t="s">
        <v>631</v>
      </c>
      <c r="Q615" t="s">
        <v>86</v>
      </c>
      <c r="R615" s="8">
        <v>0.89343763056830805</v>
      </c>
      <c r="S615" s="8">
        <v>100</v>
      </c>
      <c r="T615" s="8">
        <v>98.171881528415398</v>
      </c>
      <c r="U615" s="8">
        <v>100</v>
      </c>
      <c r="V615" t="s">
        <v>631</v>
      </c>
      <c r="W615" s="8">
        <v>90.369969999999995</v>
      </c>
      <c r="X615">
        <v>39121400</v>
      </c>
      <c r="Y615" s="8">
        <v>90.369969999999995</v>
      </c>
      <c r="Z615">
        <v>39121400</v>
      </c>
      <c r="AA615" s="8">
        <v>90.369969999999995</v>
      </c>
      <c r="AB615" t="b">
        <f t="shared" si="9"/>
        <v>0</v>
      </c>
    </row>
    <row r="616" spans="1:28" x14ac:dyDescent="0.3">
      <c r="A616">
        <v>897665</v>
      </c>
      <c r="B616" t="s">
        <v>1790</v>
      </c>
      <c r="C616" t="s">
        <v>1090</v>
      </c>
      <c r="D616" t="s">
        <v>1791</v>
      </c>
      <c r="G616">
        <v>339535</v>
      </c>
      <c r="H616">
        <v>36242</v>
      </c>
      <c r="I616" t="s">
        <v>603</v>
      </c>
      <c r="J616" s="5">
        <v>783250362424</v>
      </c>
      <c r="K616">
        <v>27111701</v>
      </c>
      <c r="L616" t="s">
        <v>1792</v>
      </c>
      <c r="M616">
        <v>260679</v>
      </c>
      <c r="N616" t="s">
        <v>1793</v>
      </c>
      <c r="O616" t="s">
        <v>603</v>
      </c>
      <c r="Q616" t="s">
        <v>86</v>
      </c>
      <c r="R616" s="9">
        <v>0.91535324723229095</v>
      </c>
      <c r="S616" s="9">
        <v>78.267662361614498</v>
      </c>
      <c r="T616" s="9">
        <v>84.267662361614498</v>
      </c>
      <c r="U616" s="8">
        <v>99.070649446458205</v>
      </c>
      <c r="V616" t="s">
        <v>603</v>
      </c>
      <c r="W616" s="9">
        <v>92.195939999999993</v>
      </c>
      <c r="X616">
        <v>27111701</v>
      </c>
      <c r="Y616" s="9">
        <v>92.195939999999993</v>
      </c>
      <c r="Z616">
        <v>27111701</v>
      </c>
      <c r="AA616" s="9">
        <v>92.195939999999993</v>
      </c>
      <c r="AB616" t="b">
        <f t="shared" si="9"/>
        <v>0</v>
      </c>
    </row>
    <row r="617" spans="1:28" ht="57.6" x14ac:dyDescent="0.3">
      <c r="A617">
        <v>897666</v>
      </c>
      <c r="B617" s="2" t="s">
        <v>1794</v>
      </c>
      <c r="C617" t="s">
        <v>1713</v>
      </c>
      <c r="D617">
        <v>39000</v>
      </c>
      <c r="G617">
        <v>279595</v>
      </c>
      <c r="H617">
        <v>39000</v>
      </c>
      <c r="I617" t="s">
        <v>250</v>
      </c>
      <c r="J617" s="6" t="s">
        <v>1795</v>
      </c>
      <c r="K617">
        <v>27112805</v>
      </c>
      <c r="M617">
        <v>22270</v>
      </c>
      <c r="N617" t="s">
        <v>1796</v>
      </c>
      <c r="O617" t="s">
        <v>250</v>
      </c>
      <c r="Q617" t="s">
        <v>86</v>
      </c>
      <c r="R617" s="9">
        <v>0.59524582857712305</v>
      </c>
      <c r="S617" s="9">
        <v>52.262291428856102</v>
      </c>
      <c r="T617" s="9">
        <v>62.262291428856102</v>
      </c>
      <c r="U617" s="9">
        <v>29.049165715424699</v>
      </c>
      <c r="AB617" t="b">
        <f t="shared" si="9"/>
        <v>0</v>
      </c>
    </row>
    <row r="618" spans="1:28" ht="43.2" x14ac:dyDescent="0.3">
      <c r="A618">
        <v>897667</v>
      </c>
      <c r="B618" s="2" t="s">
        <v>1797</v>
      </c>
      <c r="C618" t="s">
        <v>1713</v>
      </c>
      <c r="D618">
        <v>60240</v>
      </c>
      <c r="G618">
        <v>290664</v>
      </c>
      <c r="H618">
        <v>60240</v>
      </c>
      <c r="I618" t="s">
        <v>250</v>
      </c>
      <c r="J618" s="6" t="s">
        <v>1798</v>
      </c>
      <c r="K618">
        <v>47121900</v>
      </c>
      <c r="M618">
        <v>22820</v>
      </c>
      <c r="N618" t="s">
        <v>1799</v>
      </c>
      <c r="O618" t="s">
        <v>250</v>
      </c>
      <c r="Q618" t="s">
        <v>86</v>
      </c>
      <c r="R618" s="9">
        <v>0.55882652989426995</v>
      </c>
      <c r="S618" s="9">
        <v>60.4413264947135</v>
      </c>
      <c r="T618" s="9">
        <v>66.441326494713493</v>
      </c>
      <c r="U618" s="9">
        <v>27.765305978854101</v>
      </c>
      <c r="AB618" t="b">
        <f t="shared" si="9"/>
        <v>0</v>
      </c>
    </row>
    <row r="619" spans="1:28" ht="57.6" x14ac:dyDescent="0.3">
      <c r="A619">
        <v>897668</v>
      </c>
      <c r="B619" s="2" t="s">
        <v>1800</v>
      </c>
      <c r="C619" t="s">
        <v>1713</v>
      </c>
      <c r="D619">
        <v>92260</v>
      </c>
      <c r="X619">
        <v>27112800</v>
      </c>
      <c r="Y619" s="8">
        <v>60.992632</v>
      </c>
      <c r="Z619">
        <v>27112800</v>
      </c>
      <c r="AA619" s="8">
        <v>60.992632</v>
      </c>
      <c r="AB619" t="b">
        <f t="shared" si="9"/>
        <v>0</v>
      </c>
    </row>
    <row r="620" spans="1:28" ht="43.2" x14ac:dyDescent="0.3">
      <c r="A620">
        <v>897669</v>
      </c>
      <c r="B620" s="2" t="s">
        <v>1801</v>
      </c>
      <c r="C620" t="s">
        <v>1713</v>
      </c>
      <c r="D620">
        <v>60170</v>
      </c>
      <c r="AB620" t="b">
        <f t="shared" si="9"/>
        <v>0</v>
      </c>
    </row>
    <row r="621" spans="1:28" ht="43.2" x14ac:dyDescent="0.3">
      <c r="A621">
        <v>897670</v>
      </c>
      <c r="B621" s="2" t="s">
        <v>1802</v>
      </c>
      <c r="C621" t="s">
        <v>1184</v>
      </c>
      <c r="D621" t="s">
        <v>1803</v>
      </c>
      <c r="X621">
        <v>39121604</v>
      </c>
      <c r="Y621" s="9">
        <v>80.159959999999899</v>
      </c>
      <c r="Z621">
        <v>39121604</v>
      </c>
      <c r="AA621" s="9">
        <v>80.159959999999899</v>
      </c>
      <c r="AB621" t="b">
        <f t="shared" si="9"/>
        <v>0</v>
      </c>
    </row>
    <row r="622" spans="1:28" ht="43.2" x14ac:dyDescent="0.3">
      <c r="A622">
        <v>897671</v>
      </c>
      <c r="B622" s="2" t="s">
        <v>1752</v>
      </c>
      <c r="C622" t="s">
        <v>207</v>
      </c>
      <c r="D622" t="s">
        <v>1753</v>
      </c>
      <c r="V622" t="s">
        <v>631</v>
      </c>
      <c r="W622" s="8">
        <v>88.352909999999994</v>
      </c>
      <c r="X622">
        <v>39121717</v>
      </c>
      <c r="Y622" s="8">
        <v>88.352909999999994</v>
      </c>
      <c r="Z622">
        <v>39121717</v>
      </c>
      <c r="AA622" s="8">
        <v>88.352909999999994</v>
      </c>
      <c r="AB622" t="b">
        <f t="shared" si="9"/>
        <v>0</v>
      </c>
    </row>
    <row r="623" spans="1:28" ht="57.6" x14ac:dyDescent="0.3">
      <c r="A623">
        <v>897672</v>
      </c>
      <c r="B623" s="2" t="s">
        <v>1781</v>
      </c>
      <c r="C623" t="s">
        <v>1713</v>
      </c>
      <c r="D623">
        <v>39220</v>
      </c>
      <c r="G623">
        <v>288470</v>
      </c>
      <c r="H623">
        <v>39220</v>
      </c>
      <c r="I623" t="s">
        <v>250</v>
      </c>
      <c r="J623" s="6" t="s">
        <v>1782</v>
      </c>
      <c r="K623">
        <v>26112002</v>
      </c>
      <c r="M623">
        <v>22289</v>
      </c>
      <c r="N623" t="s">
        <v>1783</v>
      </c>
      <c r="O623" t="s">
        <v>250</v>
      </c>
      <c r="Q623" t="s">
        <v>86</v>
      </c>
      <c r="R623" s="9">
        <v>0.52240882115184595</v>
      </c>
      <c r="S623" s="8">
        <v>58.620441057592302</v>
      </c>
      <c r="T623" s="8">
        <v>64.620441057592302</v>
      </c>
      <c r="U623" s="8">
        <v>20.481764230369201</v>
      </c>
      <c r="AB623" t="b">
        <f t="shared" si="9"/>
        <v>0</v>
      </c>
    </row>
    <row r="624" spans="1:28" ht="43.2" x14ac:dyDescent="0.3">
      <c r="A624">
        <v>897673</v>
      </c>
      <c r="B624" s="2" t="s">
        <v>1804</v>
      </c>
      <c r="C624" t="s">
        <v>207</v>
      </c>
      <c r="D624" t="s">
        <v>1805</v>
      </c>
      <c r="G624">
        <v>299179</v>
      </c>
      <c r="H624" t="s">
        <v>1806</v>
      </c>
      <c r="I624" t="s">
        <v>631</v>
      </c>
      <c r="J624" s="6" t="s">
        <v>1807</v>
      </c>
      <c r="K624">
        <v>39121400</v>
      </c>
      <c r="M624">
        <v>40104</v>
      </c>
      <c r="N624" t="s">
        <v>1808</v>
      </c>
      <c r="O624" t="s">
        <v>631</v>
      </c>
      <c r="Q624" t="s">
        <v>86</v>
      </c>
      <c r="R624" s="9">
        <v>0.71594341336652301</v>
      </c>
      <c r="S624" s="9">
        <v>93.297170668326103</v>
      </c>
      <c r="T624" s="9">
        <v>89.297170668326103</v>
      </c>
      <c r="U624" s="9">
        <v>74.188682673304697</v>
      </c>
      <c r="V624" t="s">
        <v>631</v>
      </c>
      <c r="W624" s="9">
        <v>90.206914999999995</v>
      </c>
      <c r="X624">
        <v>39121432</v>
      </c>
      <c r="Y624" s="8">
        <v>90.206914999999995</v>
      </c>
      <c r="Z624">
        <v>39121432</v>
      </c>
      <c r="AA624" s="8">
        <v>90.206914999999995</v>
      </c>
      <c r="AB624" t="b">
        <f t="shared" si="9"/>
        <v>0</v>
      </c>
    </row>
    <row r="625" spans="1:28" ht="43.2" x14ac:dyDescent="0.3">
      <c r="A625">
        <v>897674</v>
      </c>
      <c r="B625" s="2" t="s">
        <v>1752</v>
      </c>
      <c r="C625" t="s">
        <v>207</v>
      </c>
      <c r="D625" t="s">
        <v>1753</v>
      </c>
      <c r="V625" t="s">
        <v>631</v>
      </c>
      <c r="W625" s="8">
        <v>88.352909999999994</v>
      </c>
      <c r="X625">
        <v>39121717</v>
      </c>
      <c r="Y625" s="8">
        <v>88.352909999999994</v>
      </c>
      <c r="Z625">
        <v>39121717</v>
      </c>
      <c r="AA625" s="8">
        <v>88.352909999999994</v>
      </c>
      <c r="AB625" t="b">
        <f t="shared" si="9"/>
        <v>0</v>
      </c>
    </row>
    <row r="626" spans="1:28" ht="43.2" x14ac:dyDescent="0.3">
      <c r="A626">
        <v>897675</v>
      </c>
      <c r="B626" s="2" t="s">
        <v>1809</v>
      </c>
      <c r="C626" t="s">
        <v>1192</v>
      </c>
      <c r="D626" t="s">
        <v>1810</v>
      </c>
      <c r="O626" t="s">
        <v>144</v>
      </c>
      <c r="P626" t="s">
        <v>1192</v>
      </c>
      <c r="Q626" t="s">
        <v>40</v>
      </c>
      <c r="T626" s="8">
        <v>60</v>
      </c>
      <c r="X626">
        <v>31201501</v>
      </c>
      <c r="Y626" s="8">
        <v>77.1417</v>
      </c>
      <c r="Z626">
        <v>31201501</v>
      </c>
      <c r="AA626" s="9">
        <v>77.141803999999993</v>
      </c>
      <c r="AB626" t="b">
        <f t="shared" si="9"/>
        <v>0</v>
      </c>
    </row>
    <row r="627" spans="1:28" x14ac:dyDescent="0.3">
      <c r="A627">
        <v>897676</v>
      </c>
      <c r="B627" t="s">
        <v>1811</v>
      </c>
      <c r="C627" t="s">
        <v>1192</v>
      </c>
      <c r="D627" t="s">
        <v>1810</v>
      </c>
      <c r="O627" t="s">
        <v>144</v>
      </c>
      <c r="P627" t="s">
        <v>1192</v>
      </c>
      <c r="Q627" t="s">
        <v>40</v>
      </c>
      <c r="T627" s="8">
        <v>60</v>
      </c>
      <c r="X627">
        <v>31201501</v>
      </c>
      <c r="Y627" s="9">
        <v>77.141803999999993</v>
      </c>
      <c r="Z627">
        <v>31201501</v>
      </c>
      <c r="AA627" s="9">
        <v>77.141803999999993</v>
      </c>
      <c r="AB627" t="b">
        <f t="shared" si="9"/>
        <v>0</v>
      </c>
    </row>
    <row r="628" spans="1:28" ht="43.2" x14ac:dyDescent="0.3">
      <c r="A628">
        <v>897677</v>
      </c>
      <c r="B628" s="2" t="s">
        <v>1812</v>
      </c>
      <c r="C628" t="s">
        <v>207</v>
      </c>
      <c r="D628" t="s">
        <v>1813</v>
      </c>
      <c r="G628">
        <v>302148</v>
      </c>
      <c r="H628" t="s">
        <v>1814</v>
      </c>
      <c r="I628" t="s">
        <v>631</v>
      </c>
      <c r="J628" s="6" t="s">
        <v>1815</v>
      </c>
      <c r="K628">
        <v>39121447</v>
      </c>
      <c r="M628">
        <v>37749</v>
      </c>
      <c r="N628" t="s">
        <v>1816</v>
      </c>
      <c r="O628" t="s">
        <v>631</v>
      </c>
      <c r="Q628" t="s">
        <v>86</v>
      </c>
      <c r="R628" s="9">
        <v>0.66018236110792305</v>
      </c>
      <c r="S628" s="9">
        <v>80.509118055396101</v>
      </c>
      <c r="T628" s="9">
        <v>80.509118055396101</v>
      </c>
      <c r="U628" s="9">
        <v>57.036472221584702</v>
      </c>
      <c r="X628">
        <v>39121447</v>
      </c>
      <c r="Y628" s="9">
        <v>83.090716999999998</v>
      </c>
      <c r="Z628">
        <v>39121447</v>
      </c>
      <c r="AA628" s="9">
        <v>83.090716999999998</v>
      </c>
      <c r="AB628" t="b">
        <f t="shared" si="9"/>
        <v>0</v>
      </c>
    </row>
    <row r="629" spans="1:28" ht="57.6" x14ac:dyDescent="0.3">
      <c r="A629">
        <v>897678</v>
      </c>
      <c r="B629" s="2" t="s">
        <v>1768</v>
      </c>
      <c r="C629" t="s">
        <v>207</v>
      </c>
      <c r="D629" t="s">
        <v>1769</v>
      </c>
      <c r="V629" t="s">
        <v>631</v>
      </c>
      <c r="W629" s="9">
        <v>86.0423499999999</v>
      </c>
      <c r="X629">
        <v>39121703</v>
      </c>
      <c r="Y629" s="9">
        <v>86.0423499999999</v>
      </c>
      <c r="Z629">
        <v>39121703</v>
      </c>
      <c r="AA629" s="9">
        <v>86.0423499999999</v>
      </c>
      <c r="AB629" t="b">
        <f t="shared" si="9"/>
        <v>0</v>
      </c>
    </row>
    <row r="630" spans="1:28" ht="57.6" x14ac:dyDescent="0.3">
      <c r="A630">
        <v>897679</v>
      </c>
      <c r="B630" s="2" t="s">
        <v>1781</v>
      </c>
      <c r="C630" t="s">
        <v>1713</v>
      </c>
      <c r="D630">
        <v>39220</v>
      </c>
      <c r="G630">
        <v>288470</v>
      </c>
      <c r="H630">
        <v>39220</v>
      </c>
      <c r="I630" t="s">
        <v>250</v>
      </c>
      <c r="J630" s="6" t="s">
        <v>1782</v>
      </c>
      <c r="K630">
        <v>26112002</v>
      </c>
      <c r="M630">
        <v>22289</v>
      </c>
      <c r="N630" t="s">
        <v>1783</v>
      </c>
      <c r="O630" t="s">
        <v>250</v>
      </c>
      <c r="Q630" t="s">
        <v>86</v>
      </c>
      <c r="R630" s="9">
        <v>0.52240882115184595</v>
      </c>
      <c r="S630" s="8">
        <v>58.620441057592302</v>
      </c>
      <c r="T630" s="8">
        <v>64.620441057592302</v>
      </c>
      <c r="U630" s="8">
        <v>20.481764230369201</v>
      </c>
      <c r="AB630" t="b">
        <f t="shared" si="9"/>
        <v>0</v>
      </c>
    </row>
    <row r="631" spans="1:28" ht="43.2" x14ac:dyDescent="0.3">
      <c r="A631">
        <v>897680</v>
      </c>
      <c r="B631" s="2" t="s">
        <v>1752</v>
      </c>
      <c r="C631" t="s">
        <v>207</v>
      </c>
      <c r="D631" t="s">
        <v>1753</v>
      </c>
      <c r="V631" t="s">
        <v>631</v>
      </c>
      <c r="W631" s="8">
        <v>88.352909999999994</v>
      </c>
      <c r="X631">
        <v>39121717</v>
      </c>
      <c r="Y631" s="8">
        <v>88.352909999999994</v>
      </c>
      <c r="Z631">
        <v>39121717</v>
      </c>
      <c r="AA631" s="8">
        <v>88.352909999999994</v>
      </c>
      <c r="AB631" t="b">
        <f t="shared" si="9"/>
        <v>0</v>
      </c>
    </row>
    <row r="632" spans="1:28" ht="57.6" x14ac:dyDescent="0.3">
      <c r="A632">
        <v>897681</v>
      </c>
      <c r="B632" s="2" t="s">
        <v>1775</v>
      </c>
      <c r="C632" t="s">
        <v>1184</v>
      </c>
      <c r="D632" t="s">
        <v>1776</v>
      </c>
      <c r="X632">
        <v>39121624</v>
      </c>
      <c r="Y632" s="8">
        <v>77.523803999999998</v>
      </c>
      <c r="Z632">
        <v>39121624</v>
      </c>
      <c r="AA632" s="8">
        <v>77.523803999999998</v>
      </c>
      <c r="AB632" t="b">
        <f t="shared" si="9"/>
        <v>0</v>
      </c>
    </row>
    <row r="633" spans="1:28" x14ac:dyDescent="0.3">
      <c r="A633">
        <v>897682</v>
      </c>
      <c r="B633" t="s">
        <v>1777</v>
      </c>
      <c r="C633" t="s">
        <v>1152</v>
      </c>
      <c r="D633" t="s">
        <v>1778</v>
      </c>
      <c r="O633" t="s">
        <v>656</v>
      </c>
      <c r="P633" t="s">
        <v>1152</v>
      </c>
      <c r="Q633" t="s">
        <v>40</v>
      </c>
      <c r="T633" s="8">
        <v>60</v>
      </c>
      <c r="AB633" t="b">
        <f t="shared" si="9"/>
        <v>0</v>
      </c>
    </row>
    <row r="634" spans="1:28" x14ac:dyDescent="0.3">
      <c r="A634">
        <v>897683</v>
      </c>
      <c r="B634" t="s">
        <v>1817</v>
      </c>
      <c r="C634" t="s">
        <v>1223</v>
      </c>
      <c r="D634" t="s">
        <v>1818</v>
      </c>
      <c r="E634" t="s">
        <v>1819</v>
      </c>
      <c r="O634" t="s">
        <v>414</v>
      </c>
      <c r="P634" t="s">
        <v>1223</v>
      </c>
      <c r="Q634" t="s">
        <v>40</v>
      </c>
      <c r="T634" s="8">
        <v>60</v>
      </c>
      <c r="X634">
        <v>39121703</v>
      </c>
      <c r="Y634" s="9">
        <v>83.1421729999999</v>
      </c>
      <c r="Z634">
        <v>39121703</v>
      </c>
      <c r="AA634" s="9">
        <v>83.1421729999999</v>
      </c>
      <c r="AB634" t="b">
        <f t="shared" si="9"/>
        <v>0</v>
      </c>
    </row>
    <row r="635" spans="1:28" x14ac:dyDescent="0.3">
      <c r="A635">
        <v>897684</v>
      </c>
      <c r="B635" t="s">
        <v>1820</v>
      </c>
      <c r="C635" t="s">
        <v>1102</v>
      </c>
      <c r="D635" t="s">
        <v>1821</v>
      </c>
      <c r="E635" t="s">
        <v>1822</v>
      </c>
      <c r="O635" t="s">
        <v>1230</v>
      </c>
      <c r="P635" t="s">
        <v>1231</v>
      </c>
      <c r="Q635" t="s">
        <v>40</v>
      </c>
      <c r="T635" s="8">
        <v>60</v>
      </c>
      <c r="X635">
        <v>39121304</v>
      </c>
      <c r="Y635" s="8">
        <v>52.94182</v>
      </c>
      <c r="Z635">
        <v>39121304</v>
      </c>
      <c r="AA635" s="8">
        <v>52.94182</v>
      </c>
      <c r="AB635" t="b">
        <f t="shared" si="9"/>
        <v>0</v>
      </c>
    </row>
    <row r="636" spans="1:28" x14ac:dyDescent="0.3">
      <c r="A636">
        <v>897685</v>
      </c>
      <c r="B636" t="s">
        <v>1823</v>
      </c>
      <c r="C636" t="s">
        <v>1223</v>
      </c>
      <c r="D636" t="s">
        <v>1824</v>
      </c>
      <c r="E636" t="s">
        <v>1825</v>
      </c>
      <c r="G636">
        <v>337411</v>
      </c>
      <c r="H636" t="s">
        <v>1824</v>
      </c>
      <c r="I636" t="s">
        <v>414</v>
      </c>
      <c r="J636" s="5">
        <v>781810370155</v>
      </c>
      <c r="K636">
        <v>39121432</v>
      </c>
      <c r="L636" t="s">
        <v>1825</v>
      </c>
      <c r="M636">
        <v>254683</v>
      </c>
      <c r="N636" t="s">
        <v>1823</v>
      </c>
      <c r="O636" t="s">
        <v>414</v>
      </c>
      <c r="P636" t="s">
        <v>1223</v>
      </c>
      <c r="Q636" t="s">
        <v>40</v>
      </c>
      <c r="R636" s="8">
        <v>0.99999918027038004</v>
      </c>
      <c r="S636" s="8">
        <v>100</v>
      </c>
      <c r="T636" s="8">
        <v>100</v>
      </c>
      <c r="U636" s="8">
        <v>100</v>
      </c>
      <c r="V636" t="s">
        <v>414</v>
      </c>
      <c r="W636" s="9">
        <v>99.999904999999899</v>
      </c>
      <c r="X636">
        <v>39121432</v>
      </c>
      <c r="Y636" s="8">
        <v>99.999904999999998</v>
      </c>
      <c r="Z636">
        <v>39121432</v>
      </c>
      <c r="AA636" s="8">
        <v>99.999904999999998</v>
      </c>
      <c r="AB636" t="b">
        <f t="shared" si="9"/>
        <v>0</v>
      </c>
    </row>
    <row r="637" spans="1:28" x14ac:dyDescent="0.3">
      <c r="A637">
        <v>897686</v>
      </c>
      <c r="B637" t="s">
        <v>1823</v>
      </c>
      <c r="C637" t="s">
        <v>1223</v>
      </c>
      <c r="D637" t="s">
        <v>1824</v>
      </c>
      <c r="E637" t="s">
        <v>1825</v>
      </c>
      <c r="G637">
        <v>337411</v>
      </c>
      <c r="H637" t="s">
        <v>1824</v>
      </c>
      <c r="I637" t="s">
        <v>414</v>
      </c>
      <c r="J637" s="5">
        <v>781810370155</v>
      </c>
      <c r="K637">
        <v>39121432</v>
      </c>
      <c r="L637" t="s">
        <v>1825</v>
      </c>
      <c r="M637">
        <v>254683</v>
      </c>
      <c r="N637" t="s">
        <v>1823</v>
      </c>
      <c r="O637" t="s">
        <v>414</v>
      </c>
      <c r="P637" t="s">
        <v>1223</v>
      </c>
      <c r="Q637" t="s">
        <v>40</v>
      </c>
      <c r="R637" s="8">
        <v>0.99999918027038004</v>
      </c>
      <c r="S637" s="8">
        <v>100</v>
      </c>
      <c r="T637" s="8">
        <v>100</v>
      </c>
      <c r="U637" s="8">
        <v>100</v>
      </c>
      <c r="V637" t="s">
        <v>414</v>
      </c>
      <c r="W637" s="9">
        <v>99.999904999999899</v>
      </c>
      <c r="X637">
        <v>39121432</v>
      </c>
      <c r="Y637" s="8">
        <v>99.999904999999998</v>
      </c>
      <c r="Z637">
        <v>39121432</v>
      </c>
      <c r="AA637" s="8">
        <v>99.999904999999998</v>
      </c>
      <c r="AB637" t="b">
        <f t="shared" si="9"/>
        <v>0</v>
      </c>
    </row>
    <row r="638" spans="1:28" x14ac:dyDescent="0.3">
      <c r="A638">
        <v>897687</v>
      </c>
      <c r="B638" t="s">
        <v>1826</v>
      </c>
      <c r="C638" t="s">
        <v>1827</v>
      </c>
      <c r="D638" t="s">
        <v>1828</v>
      </c>
      <c r="E638" t="s">
        <v>1829</v>
      </c>
      <c r="G638">
        <v>337341</v>
      </c>
      <c r="H638" t="s">
        <v>1830</v>
      </c>
      <c r="I638" t="s">
        <v>286</v>
      </c>
      <c r="J638" s="5">
        <v>781747903907</v>
      </c>
      <c r="K638">
        <v>39121312</v>
      </c>
      <c r="L638" t="s">
        <v>1829</v>
      </c>
      <c r="M638">
        <v>254076</v>
      </c>
      <c r="N638" t="s">
        <v>1831</v>
      </c>
      <c r="O638" t="s">
        <v>286</v>
      </c>
      <c r="Q638" t="s">
        <v>86</v>
      </c>
      <c r="R638" s="9">
        <v>0.938893952974866</v>
      </c>
      <c r="S638" s="8">
        <v>100</v>
      </c>
      <c r="T638" s="8">
        <v>100</v>
      </c>
      <c r="U638" s="8">
        <v>100</v>
      </c>
      <c r="V638" t="s">
        <v>286</v>
      </c>
      <c r="W638" s="8">
        <v>94.241299999999995</v>
      </c>
      <c r="X638">
        <v>39121312</v>
      </c>
      <c r="Y638" s="8">
        <v>94.241299999999995</v>
      </c>
      <c r="Z638">
        <v>39121312</v>
      </c>
      <c r="AA638" s="9">
        <v>92.566822499999901</v>
      </c>
      <c r="AB638" t="b">
        <f t="shared" si="9"/>
        <v>1</v>
      </c>
    </row>
    <row r="639" spans="1:28" x14ac:dyDescent="0.3">
      <c r="A639">
        <v>897688</v>
      </c>
      <c r="B639" t="s">
        <v>1832</v>
      </c>
      <c r="C639" t="s">
        <v>1223</v>
      </c>
      <c r="D639" t="s">
        <v>1833</v>
      </c>
      <c r="E639" t="s">
        <v>1834</v>
      </c>
      <c r="G639">
        <v>337471</v>
      </c>
      <c r="H639" t="s">
        <v>1833</v>
      </c>
      <c r="I639" t="s">
        <v>414</v>
      </c>
      <c r="J639" s="5">
        <v>781810370254</v>
      </c>
      <c r="K639">
        <v>39121405</v>
      </c>
      <c r="L639" t="s">
        <v>1834</v>
      </c>
      <c r="M639">
        <v>254696</v>
      </c>
      <c r="N639" t="s">
        <v>1832</v>
      </c>
      <c r="O639" t="s">
        <v>414</v>
      </c>
      <c r="P639" t="s">
        <v>1223</v>
      </c>
      <c r="Q639" t="s">
        <v>40</v>
      </c>
      <c r="R639" s="9">
        <v>0.99999891558439002</v>
      </c>
      <c r="S639" s="8">
        <v>100</v>
      </c>
      <c r="T639" s="8">
        <v>100</v>
      </c>
      <c r="U639" s="8">
        <v>100</v>
      </c>
      <c r="V639" t="s">
        <v>414</v>
      </c>
      <c r="W639" s="9">
        <v>99.999904999999899</v>
      </c>
      <c r="X639">
        <v>39121432</v>
      </c>
      <c r="Y639" s="8">
        <v>93.474779999999996</v>
      </c>
      <c r="Z639">
        <v>39121405</v>
      </c>
      <c r="AA639" s="8">
        <v>99.999904999999998</v>
      </c>
      <c r="AB639" t="b">
        <f t="shared" si="9"/>
        <v>0</v>
      </c>
    </row>
    <row r="640" spans="1:28" x14ac:dyDescent="0.3">
      <c r="A640">
        <v>897689</v>
      </c>
      <c r="B640" t="s">
        <v>1826</v>
      </c>
      <c r="C640" t="s">
        <v>1827</v>
      </c>
      <c r="D640" t="s">
        <v>1828</v>
      </c>
      <c r="E640" t="s">
        <v>1829</v>
      </c>
      <c r="G640">
        <v>337341</v>
      </c>
      <c r="H640" t="s">
        <v>1830</v>
      </c>
      <c r="I640" t="s">
        <v>286</v>
      </c>
      <c r="J640" s="5">
        <v>781747903907</v>
      </c>
      <c r="K640">
        <v>39121312</v>
      </c>
      <c r="L640" t="s">
        <v>1829</v>
      </c>
      <c r="M640">
        <v>254076</v>
      </c>
      <c r="N640" t="s">
        <v>1831</v>
      </c>
      <c r="O640" t="s">
        <v>286</v>
      </c>
      <c r="Q640" t="s">
        <v>86</v>
      </c>
      <c r="R640" s="9">
        <v>0.938893952974866</v>
      </c>
      <c r="S640" s="8">
        <v>100</v>
      </c>
      <c r="T640" s="8">
        <v>100</v>
      </c>
      <c r="U640" s="8">
        <v>100</v>
      </c>
      <c r="V640" t="s">
        <v>286</v>
      </c>
      <c r="W640" s="8">
        <v>94.241299999999995</v>
      </c>
      <c r="X640">
        <v>39121312</v>
      </c>
      <c r="Y640" s="8">
        <v>94.241299999999995</v>
      </c>
      <c r="Z640">
        <v>39121312</v>
      </c>
      <c r="AA640" s="8">
        <v>92.562460000000002</v>
      </c>
      <c r="AB640" t="b">
        <f t="shared" si="9"/>
        <v>1</v>
      </c>
    </row>
    <row r="641" spans="1:28" x14ac:dyDescent="0.3">
      <c r="A641">
        <v>897691</v>
      </c>
      <c r="B641" t="s">
        <v>1835</v>
      </c>
      <c r="C641" t="s">
        <v>1102</v>
      </c>
      <c r="D641" t="s">
        <v>1836</v>
      </c>
      <c r="E641" t="s">
        <v>1837</v>
      </c>
      <c r="G641">
        <v>338074</v>
      </c>
      <c r="H641" t="s">
        <v>1838</v>
      </c>
      <c r="I641" t="s">
        <v>308</v>
      </c>
      <c r="J641" s="5">
        <v>662277002004</v>
      </c>
      <c r="K641">
        <v>39121312</v>
      </c>
      <c r="L641" t="s">
        <v>1837</v>
      </c>
      <c r="M641">
        <v>256329</v>
      </c>
      <c r="N641" t="s">
        <v>1839</v>
      </c>
      <c r="O641" t="s">
        <v>308</v>
      </c>
      <c r="Q641" t="s">
        <v>86</v>
      </c>
      <c r="R641" s="9">
        <v>0.89938057207734501</v>
      </c>
      <c r="S641" s="9">
        <v>26.246385149839099</v>
      </c>
      <c r="T641" s="9">
        <v>97.734514301933601</v>
      </c>
      <c r="U641" s="9">
        <v>38.711692732711697</v>
      </c>
      <c r="V641" t="s">
        <v>308</v>
      </c>
      <c r="W641" s="8">
        <v>90.857934999999998</v>
      </c>
      <c r="X641">
        <v>39121312</v>
      </c>
      <c r="Y641" s="8">
        <v>90.857934999999998</v>
      </c>
      <c r="Z641">
        <v>39121312</v>
      </c>
      <c r="AA641" s="8">
        <v>90.857934999999998</v>
      </c>
      <c r="AB641" t="b">
        <f t="shared" si="9"/>
        <v>0</v>
      </c>
    </row>
    <row r="642" spans="1:28" x14ac:dyDescent="0.3">
      <c r="A642">
        <v>897692</v>
      </c>
      <c r="B642" t="s">
        <v>1840</v>
      </c>
      <c r="C642" t="s">
        <v>1841</v>
      </c>
      <c r="D642" t="s">
        <v>1842</v>
      </c>
      <c r="E642" t="s">
        <v>1843</v>
      </c>
      <c r="G642">
        <v>341254</v>
      </c>
      <c r="H642" t="s">
        <v>1844</v>
      </c>
      <c r="I642" t="s">
        <v>1845</v>
      </c>
      <c r="J642" s="5">
        <v>702316503663</v>
      </c>
      <c r="K642">
        <v>31162906</v>
      </c>
      <c r="L642" t="s">
        <v>1843</v>
      </c>
      <c r="M642">
        <v>265799</v>
      </c>
      <c r="N642" t="s">
        <v>1846</v>
      </c>
      <c r="O642" t="s">
        <v>1845</v>
      </c>
      <c r="Q642" t="s">
        <v>75</v>
      </c>
      <c r="R642" s="9">
        <v>0.97580858096850998</v>
      </c>
      <c r="S642" s="8">
        <v>100</v>
      </c>
      <c r="T642" s="9">
        <v>65.290429048425494</v>
      </c>
      <c r="U642" s="8">
        <v>100</v>
      </c>
      <c r="V642" t="s">
        <v>1845</v>
      </c>
      <c r="W642" s="8">
        <v>97.638000000000005</v>
      </c>
      <c r="X642">
        <v>31162906</v>
      </c>
      <c r="Y642" s="8">
        <v>97.638000000000005</v>
      </c>
      <c r="Z642">
        <v>31162906</v>
      </c>
      <c r="AA642" s="8">
        <v>97.638000000000005</v>
      </c>
      <c r="AB642" t="b">
        <f t="shared" si="9"/>
        <v>0</v>
      </c>
    </row>
    <row r="643" spans="1:28" x14ac:dyDescent="0.3">
      <c r="A643">
        <v>897693</v>
      </c>
      <c r="B643" t="s">
        <v>1835</v>
      </c>
      <c r="C643" t="s">
        <v>1102</v>
      </c>
      <c r="D643" t="s">
        <v>1836</v>
      </c>
      <c r="E643" t="s">
        <v>1837</v>
      </c>
      <c r="G643">
        <v>338074</v>
      </c>
      <c r="H643" t="s">
        <v>1838</v>
      </c>
      <c r="I643" t="s">
        <v>308</v>
      </c>
      <c r="J643" s="5">
        <v>662277002004</v>
      </c>
      <c r="K643">
        <v>39121312</v>
      </c>
      <c r="L643" t="s">
        <v>1837</v>
      </c>
      <c r="M643">
        <v>256329</v>
      </c>
      <c r="N643" t="s">
        <v>1839</v>
      </c>
      <c r="O643" t="s">
        <v>308</v>
      </c>
      <c r="Q643" t="s">
        <v>86</v>
      </c>
      <c r="R643" s="9">
        <v>0.89938057207734501</v>
      </c>
      <c r="S643" s="9">
        <v>26.246385149839099</v>
      </c>
      <c r="T643" s="9">
        <v>97.734514301933601</v>
      </c>
      <c r="U643" s="9">
        <v>38.711692732711697</v>
      </c>
      <c r="V643" t="s">
        <v>308</v>
      </c>
      <c r="W643" s="8">
        <v>90.857934999999998</v>
      </c>
      <c r="X643">
        <v>39121312</v>
      </c>
      <c r="Y643" s="8">
        <v>90.857934999999998</v>
      </c>
      <c r="Z643">
        <v>39121312</v>
      </c>
      <c r="AA643" s="9">
        <v>90.847619999999907</v>
      </c>
      <c r="AB643" t="b">
        <f t="shared" ref="AB643:AB706" si="10">(AA643-Y643)&lt;-1</f>
        <v>0</v>
      </c>
    </row>
    <row r="644" spans="1:28" x14ac:dyDescent="0.3">
      <c r="A644">
        <v>897694</v>
      </c>
      <c r="B644" t="s">
        <v>1835</v>
      </c>
      <c r="C644" t="s">
        <v>1102</v>
      </c>
      <c r="D644" t="s">
        <v>1836</v>
      </c>
      <c r="E644" t="s">
        <v>1837</v>
      </c>
      <c r="G644">
        <v>338074</v>
      </c>
      <c r="H644" t="s">
        <v>1838</v>
      </c>
      <c r="I644" t="s">
        <v>308</v>
      </c>
      <c r="J644" s="5">
        <v>662277002004</v>
      </c>
      <c r="K644">
        <v>39121312</v>
      </c>
      <c r="L644" t="s">
        <v>1837</v>
      </c>
      <c r="M644">
        <v>256329</v>
      </c>
      <c r="N644" t="s">
        <v>1839</v>
      </c>
      <c r="O644" t="s">
        <v>308</v>
      </c>
      <c r="Q644" t="s">
        <v>86</v>
      </c>
      <c r="R644" s="9">
        <v>0.89938057207734501</v>
      </c>
      <c r="S644" s="9">
        <v>26.246385149839099</v>
      </c>
      <c r="T644" s="9">
        <v>97.734514301933601</v>
      </c>
      <c r="U644" s="9">
        <v>38.711692732711697</v>
      </c>
      <c r="V644" t="s">
        <v>308</v>
      </c>
      <c r="W644" s="8">
        <v>90.857934999999998</v>
      </c>
      <c r="X644">
        <v>39121312</v>
      </c>
      <c r="Y644" s="8">
        <v>90.857934999999998</v>
      </c>
      <c r="Z644">
        <v>39121312</v>
      </c>
      <c r="AA644" s="8">
        <v>90.855940000000004</v>
      </c>
      <c r="AB644" t="b">
        <f t="shared" si="10"/>
        <v>0</v>
      </c>
    </row>
    <row r="645" spans="1:28" x14ac:dyDescent="0.3">
      <c r="A645">
        <v>897695</v>
      </c>
      <c r="B645" t="s">
        <v>1847</v>
      </c>
      <c r="C645" t="s">
        <v>1082</v>
      </c>
      <c r="D645" t="s">
        <v>1848</v>
      </c>
      <c r="E645" t="s">
        <v>1849</v>
      </c>
      <c r="G645">
        <v>339118</v>
      </c>
      <c r="H645" t="s">
        <v>1848</v>
      </c>
      <c r="I645" t="s">
        <v>343</v>
      </c>
      <c r="J645" s="5">
        <v>783510523503</v>
      </c>
      <c r="K645">
        <v>39131710</v>
      </c>
      <c r="L645" t="s">
        <v>1849</v>
      </c>
      <c r="M645">
        <v>259628</v>
      </c>
      <c r="N645" t="s">
        <v>1847</v>
      </c>
      <c r="O645" t="s">
        <v>343</v>
      </c>
      <c r="Q645" t="s">
        <v>86</v>
      </c>
      <c r="R645" s="9">
        <v>0.99999808485060304</v>
      </c>
      <c r="S645" s="9">
        <v>92.499904242530107</v>
      </c>
      <c r="T645" s="9">
        <v>94.499904242530107</v>
      </c>
      <c r="U645" s="8">
        <v>100</v>
      </c>
      <c r="V645" t="s">
        <v>343</v>
      </c>
      <c r="W645" s="8">
        <v>99.999809999999997</v>
      </c>
      <c r="X645">
        <v>39131710</v>
      </c>
      <c r="Y645" s="8">
        <v>99.999809999999997</v>
      </c>
      <c r="Z645">
        <v>39131710</v>
      </c>
      <c r="AA645" s="8">
        <v>99.99982</v>
      </c>
      <c r="AB645" t="b">
        <f t="shared" si="10"/>
        <v>0</v>
      </c>
    </row>
    <row r="646" spans="1:28" x14ac:dyDescent="0.3">
      <c r="A646">
        <v>897698</v>
      </c>
      <c r="B646" t="s">
        <v>1850</v>
      </c>
      <c r="C646" t="s">
        <v>1102</v>
      </c>
      <c r="D646" t="s">
        <v>1851</v>
      </c>
      <c r="E646" t="s">
        <v>1852</v>
      </c>
      <c r="G646">
        <v>337873</v>
      </c>
      <c r="H646" t="s">
        <v>1851</v>
      </c>
      <c r="I646" t="s">
        <v>308</v>
      </c>
      <c r="J646" s="5">
        <v>786189104325</v>
      </c>
      <c r="K646">
        <v>39121308</v>
      </c>
      <c r="L646" t="s">
        <v>1852</v>
      </c>
      <c r="M646">
        <v>256433</v>
      </c>
      <c r="N646" t="s">
        <v>1853</v>
      </c>
      <c r="O646" t="s">
        <v>308</v>
      </c>
      <c r="Q646" t="s">
        <v>86</v>
      </c>
      <c r="R646" s="9">
        <v>0.83253640767621095</v>
      </c>
      <c r="S646" s="9">
        <v>79.126820383810497</v>
      </c>
      <c r="T646" s="9">
        <v>83.126820383810497</v>
      </c>
      <c r="U646" s="9">
        <v>85.5072815352422</v>
      </c>
      <c r="V646" t="s">
        <v>308</v>
      </c>
      <c r="W646" s="8">
        <v>92.213374000000002</v>
      </c>
      <c r="X646">
        <v>39121308</v>
      </c>
      <c r="Y646" s="8">
        <v>92.213374000000002</v>
      </c>
      <c r="Z646">
        <v>39121308</v>
      </c>
      <c r="AA646" s="8">
        <v>92.213374000000002</v>
      </c>
      <c r="AB646" t="b">
        <f t="shared" si="10"/>
        <v>0</v>
      </c>
    </row>
    <row r="647" spans="1:28" x14ac:dyDescent="0.3">
      <c r="A647">
        <v>897699</v>
      </c>
      <c r="B647" t="s">
        <v>1854</v>
      </c>
      <c r="C647" t="s">
        <v>1102</v>
      </c>
      <c r="D647">
        <v>457</v>
      </c>
      <c r="E647" t="s">
        <v>1855</v>
      </c>
      <c r="O647" t="s">
        <v>45</v>
      </c>
      <c r="P647" t="s">
        <v>42</v>
      </c>
      <c r="Q647" t="s">
        <v>40</v>
      </c>
      <c r="T647" s="8">
        <v>60</v>
      </c>
      <c r="V647" t="s">
        <v>308</v>
      </c>
      <c r="W647" s="8">
        <v>88.522105999999994</v>
      </c>
      <c r="X647">
        <v>39121434</v>
      </c>
      <c r="Y647" s="8">
        <v>70.817684799999995</v>
      </c>
      <c r="Z647">
        <v>39121434</v>
      </c>
      <c r="AA647" s="8">
        <v>70.817684799999995</v>
      </c>
      <c r="AB647" t="b">
        <f t="shared" si="10"/>
        <v>0</v>
      </c>
    </row>
    <row r="648" spans="1:28" x14ac:dyDescent="0.3">
      <c r="A648">
        <v>897700</v>
      </c>
      <c r="B648" t="s">
        <v>1854</v>
      </c>
      <c r="C648" t="s">
        <v>1102</v>
      </c>
      <c r="D648">
        <v>457</v>
      </c>
      <c r="E648" t="s">
        <v>1855</v>
      </c>
      <c r="O648" t="s">
        <v>45</v>
      </c>
      <c r="P648" t="s">
        <v>42</v>
      </c>
      <c r="Q648" t="s">
        <v>40</v>
      </c>
      <c r="T648" s="8">
        <v>60</v>
      </c>
      <c r="V648" t="s">
        <v>308</v>
      </c>
      <c r="W648" s="8">
        <v>88.522105999999994</v>
      </c>
      <c r="X648">
        <v>39121434</v>
      </c>
      <c r="Y648" s="8">
        <v>70.817684799999995</v>
      </c>
      <c r="Z648">
        <v>39121434</v>
      </c>
      <c r="AA648" s="8">
        <v>70.817684799999995</v>
      </c>
      <c r="AB648" t="b">
        <f t="shared" si="10"/>
        <v>0</v>
      </c>
    </row>
    <row r="649" spans="1:28" x14ac:dyDescent="0.3">
      <c r="A649">
        <v>897701</v>
      </c>
      <c r="B649" t="s">
        <v>1856</v>
      </c>
      <c r="C649" t="s">
        <v>1117</v>
      </c>
      <c r="D649" t="s">
        <v>1857</v>
      </c>
      <c r="E649" t="s">
        <v>1858</v>
      </c>
      <c r="G649">
        <v>335827</v>
      </c>
      <c r="H649" t="s">
        <v>1857</v>
      </c>
      <c r="I649" t="s">
        <v>417</v>
      </c>
      <c r="J649" s="6" t="s">
        <v>1859</v>
      </c>
      <c r="K649">
        <v>39131700</v>
      </c>
      <c r="L649" t="s">
        <v>1858</v>
      </c>
      <c r="M649">
        <v>252645</v>
      </c>
      <c r="N649" t="s">
        <v>1860</v>
      </c>
      <c r="O649" t="s">
        <v>417</v>
      </c>
      <c r="Q649" t="s">
        <v>86</v>
      </c>
      <c r="R649" s="9">
        <v>0.98249356182805503</v>
      </c>
      <c r="S649" s="9">
        <v>18.6303446622595</v>
      </c>
      <c r="T649" s="9">
        <v>17.164517624131001</v>
      </c>
      <c r="U649" s="9">
        <v>29.3333047399056</v>
      </c>
      <c r="V649" t="s">
        <v>417</v>
      </c>
      <c r="W649" s="9">
        <v>98.279479999999893</v>
      </c>
      <c r="X649">
        <v>39131700</v>
      </c>
      <c r="Y649" s="9">
        <v>98.279479999999893</v>
      </c>
      <c r="Z649">
        <v>39131700</v>
      </c>
      <c r="AA649" s="9">
        <v>98.279479999999893</v>
      </c>
      <c r="AB649" t="b">
        <f t="shared" si="10"/>
        <v>0</v>
      </c>
    </row>
    <row r="650" spans="1:28" x14ac:dyDescent="0.3">
      <c r="A650">
        <v>897702</v>
      </c>
      <c r="B650" t="s">
        <v>1850</v>
      </c>
      <c r="C650" t="s">
        <v>1102</v>
      </c>
      <c r="D650" t="s">
        <v>1851</v>
      </c>
      <c r="E650" t="s">
        <v>1852</v>
      </c>
      <c r="G650">
        <v>337873</v>
      </c>
      <c r="H650" t="s">
        <v>1851</v>
      </c>
      <c r="I650" t="s">
        <v>308</v>
      </c>
      <c r="J650" s="5">
        <v>786189104325</v>
      </c>
      <c r="K650">
        <v>39121308</v>
      </c>
      <c r="L650" t="s">
        <v>1852</v>
      </c>
      <c r="M650">
        <v>256433</v>
      </c>
      <c r="N650" t="s">
        <v>1853</v>
      </c>
      <c r="O650" t="s">
        <v>308</v>
      </c>
      <c r="Q650" t="s">
        <v>86</v>
      </c>
      <c r="R650" s="9">
        <v>0.83238250888238297</v>
      </c>
      <c r="S650" s="9">
        <v>79.119125444119106</v>
      </c>
      <c r="T650" s="9">
        <v>83.119125444119106</v>
      </c>
      <c r="U650" s="9">
        <v>85.476501776476695</v>
      </c>
      <c r="V650" t="s">
        <v>308</v>
      </c>
      <c r="W650" s="8">
        <v>92.208789999999993</v>
      </c>
      <c r="X650">
        <v>39121308</v>
      </c>
      <c r="Y650" s="8">
        <v>92.208789999999993</v>
      </c>
      <c r="Z650">
        <v>39121308</v>
      </c>
      <c r="AA650" s="8">
        <v>92.213374000000002</v>
      </c>
      <c r="AB650" t="b">
        <f t="shared" si="10"/>
        <v>0</v>
      </c>
    </row>
    <row r="651" spans="1:28" x14ac:dyDescent="0.3">
      <c r="A651">
        <v>897703</v>
      </c>
      <c r="B651" t="s">
        <v>1861</v>
      </c>
      <c r="C651" t="s">
        <v>1102</v>
      </c>
      <c r="D651" t="s">
        <v>1862</v>
      </c>
      <c r="E651" t="s">
        <v>1863</v>
      </c>
      <c r="V651" t="s">
        <v>308</v>
      </c>
      <c r="W651" s="8">
        <v>87.199420000000003</v>
      </c>
      <c r="X651">
        <v>39121308</v>
      </c>
      <c r="Y651" s="8">
        <v>87.199420000000003</v>
      </c>
      <c r="Z651">
        <v>39121308</v>
      </c>
      <c r="AA651" s="8">
        <v>87.200355999999999</v>
      </c>
      <c r="AB651" t="b">
        <f t="shared" si="10"/>
        <v>0</v>
      </c>
    </row>
    <row r="652" spans="1:28" x14ac:dyDescent="0.3">
      <c r="A652">
        <v>897704</v>
      </c>
      <c r="B652" t="s">
        <v>1864</v>
      </c>
      <c r="C652" t="s">
        <v>1054</v>
      </c>
      <c r="D652" t="s">
        <v>1865</v>
      </c>
      <c r="E652" t="s">
        <v>1866</v>
      </c>
      <c r="V652" t="s">
        <v>104</v>
      </c>
      <c r="W652" s="9">
        <v>89.754116999999994</v>
      </c>
      <c r="X652">
        <v>31161708</v>
      </c>
      <c r="Y652" s="9">
        <v>89.754116999999994</v>
      </c>
      <c r="Z652">
        <v>31161708</v>
      </c>
      <c r="AA652" s="8">
        <v>89.751446000000001</v>
      </c>
      <c r="AB652" t="b">
        <f t="shared" si="10"/>
        <v>0</v>
      </c>
    </row>
    <row r="653" spans="1:28" x14ac:dyDescent="0.3">
      <c r="A653">
        <v>897706</v>
      </c>
      <c r="B653" t="s">
        <v>1867</v>
      </c>
      <c r="C653" t="s">
        <v>1104</v>
      </c>
      <c r="D653" t="s">
        <v>1868</v>
      </c>
      <c r="E653" t="s">
        <v>1869</v>
      </c>
      <c r="G653">
        <v>338499</v>
      </c>
      <c r="H653" t="s">
        <v>1870</v>
      </c>
      <c r="I653" t="s">
        <v>321</v>
      </c>
      <c r="J653" s="5">
        <v>781002174103</v>
      </c>
      <c r="K653">
        <v>31161528</v>
      </c>
      <c r="L653" t="s">
        <v>1869</v>
      </c>
      <c r="M653">
        <v>258079</v>
      </c>
      <c r="N653" t="s">
        <v>1871</v>
      </c>
      <c r="O653" t="s">
        <v>321</v>
      </c>
      <c r="Q653" t="s">
        <v>75</v>
      </c>
      <c r="R653" s="9">
        <v>0.96334941575530697</v>
      </c>
      <c r="S653" s="9">
        <v>95.667470787765296</v>
      </c>
      <c r="T653" s="9">
        <v>61.667470787765303</v>
      </c>
      <c r="U653" s="8">
        <v>100</v>
      </c>
      <c r="V653" t="s">
        <v>321</v>
      </c>
      <c r="W653" s="9">
        <v>96.464514999999906</v>
      </c>
      <c r="X653">
        <v>31161528</v>
      </c>
      <c r="Y653" s="9">
        <v>96.464514999999906</v>
      </c>
      <c r="Z653">
        <v>31161528</v>
      </c>
      <c r="AA653" s="9">
        <v>96.464514999999906</v>
      </c>
      <c r="AB653" t="b">
        <f t="shared" si="10"/>
        <v>0</v>
      </c>
    </row>
    <row r="654" spans="1:28" x14ac:dyDescent="0.3">
      <c r="A654">
        <v>897707</v>
      </c>
      <c r="B654" t="s">
        <v>1872</v>
      </c>
      <c r="C654" t="s">
        <v>1841</v>
      </c>
      <c r="D654" t="s">
        <v>1873</v>
      </c>
      <c r="E654" t="s">
        <v>1874</v>
      </c>
      <c r="O654" t="s">
        <v>227</v>
      </c>
      <c r="P654" t="s">
        <v>223</v>
      </c>
      <c r="Q654" t="s">
        <v>40</v>
      </c>
      <c r="T654" s="8">
        <v>60</v>
      </c>
      <c r="X654">
        <v>30100000</v>
      </c>
      <c r="Y654" s="8">
        <v>49.935293999999999</v>
      </c>
      <c r="Z654">
        <v>30100000</v>
      </c>
      <c r="AA654" s="8">
        <v>49.935293999999999</v>
      </c>
      <c r="AB654" t="b">
        <f t="shared" si="10"/>
        <v>0</v>
      </c>
    </row>
    <row r="655" spans="1:28" x14ac:dyDescent="0.3">
      <c r="A655">
        <v>897708</v>
      </c>
      <c r="B655" t="s">
        <v>1875</v>
      </c>
      <c r="C655" t="s">
        <v>1102</v>
      </c>
      <c r="D655" t="s">
        <v>1876</v>
      </c>
      <c r="E655" t="s">
        <v>1877</v>
      </c>
      <c r="V655" t="s">
        <v>308</v>
      </c>
      <c r="W655" s="9">
        <v>85.315852999999905</v>
      </c>
      <c r="X655">
        <v>39121308</v>
      </c>
      <c r="Y655" s="9">
        <v>85.315852999999905</v>
      </c>
      <c r="Z655">
        <v>39121308</v>
      </c>
      <c r="AA655" s="9">
        <v>85.315852999999905</v>
      </c>
      <c r="AB655" t="b">
        <f t="shared" si="10"/>
        <v>0</v>
      </c>
    </row>
    <row r="656" spans="1:28" x14ac:dyDescent="0.3">
      <c r="A656">
        <v>897709</v>
      </c>
      <c r="B656" t="s">
        <v>1878</v>
      </c>
      <c r="C656" t="s">
        <v>1104</v>
      </c>
      <c r="D656" t="s">
        <v>1879</v>
      </c>
      <c r="E656" t="s">
        <v>1880</v>
      </c>
      <c r="G656">
        <v>335722</v>
      </c>
      <c r="H656" t="s">
        <v>1879</v>
      </c>
      <c r="I656" t="s">
        <v>321</v>
      </c>
      <c r="J656" s="5">
        <v>781002281702</v>
      </c>
      <c r="K656">
        <v>39121700</v>
      </c>
      <c r="L656" t="s">
        <v>1880</v>
      </c>
      <c r="M656">
        <v>257928</v>
      </c>
      <c r="N656" t="s">
        <v>1881</v>
      </c>
      <c r="O656" t="s">
        <v>321</v>
      </c>
      <c r="Q656" t="s">
        <v>86</v>
      </c>
      <c r="R656" s="9">
        <v>0.96312289619689995</v>
      </c>
      <c r="S656" s="8">
        <v>85.656144809845003</v>
      </c>
      <c r="T656" s="8">
        <v>89.656144809845003</v>
      </c>
      <c r="U656" s="8">
        <v>100</v>
      </c>
      <c r="V656" t="s">
        <v>321</v>
      </c>
      <c r="W656" s="8">
        <v>96.443439999999995</v>
      </c>
      <c r="X656">
        <v>39121700</v>
      </c>
      <c r="Y656" s="8">
        <v>96.443439999999995</v>
      </c>
      <c r="Z656">
        <v>39121700</v>
      </c>
      <c r="AA656" s="8">
        <v>96.437894999999997</v>
      </c>
      <c r="AB656" t="b">
        <f t="shared" si="10"/>
        <v>0</v>
      </c>
    </row>
    <row r="657" spans="1:28" x14ac:dyDescent="0.3">
      <c r="A657">
        <v>897710</v>
      </c>
      <c r="B657" t="s">
        <v>1882</v>
      </c>
      <c r="C657" t="s">
        <v>1192</v>
      </c>
      <c r="D657" t="s">
        <v>1883</v>
      </c>
      <c r="E657" t="s">
        <v>1884</v>
      </c>
      <c r="G657">
        <v>340655</v>
      </c>
      <c r="H657" t="s">
        <v>1885</v>
      </c>
      <c r="I657" t="s">
        <v>144</v>
      </c>
      <c r="J657" s="6" t="s">
        <v>1886</v>
      </c>
      <c r="K657">
        <v>39121703</v>
      </c>
      <c r="L657" t="s">
        <v>1884</v>
      </c>
      <c r="M657">
        <v>264320</v>
      </c>
      <c r="N657" t="s">
        <v>1887</v>
      </c>
      <c r="O657" t="s">
        <v>144</v>
      </c>
      <c r="P657" t="s">
        <v>1192</v>
      </c>
      <c r="Q657" t="s">
        <v>40</v>
      </c>
      <c r="R657" s="9">
        <v>0.98364749955668995</v>
      </c>
      <c r="S657" s="8">
        <v>100</v>
      </c>
      <c r="T657" s="8">
        <v>100</v>
      </c>
      <c r="U657" s="8">
        <v>100</v>
      </c>
      <c r="V657" t="s">
        <v>144</v>
      </c>
      <c r="W657" s="8">
        <v>98.391069999999999</v>
      </c>
      <c r="X657">
        <v>39121703</v>
      </c>
      <c r="Y657" s="8">
        <v>98.391069999999999</v>
      </c>
      <c r="Z657">
        <v>39121703</v>
      </c>
      <c r="AA657" s="8">
        <v>98.391069999999999</v>
      </c>
      <c r="AB657" t="b">
        <f t="shared" si="10"/>
        <v>0</v>
      </c>
    </row>
    <row r="658" spans="1:28" x14ac:dyDescent="0.3">
      <c r="A658">
        <v>897711</v>
      </c>
      <c r="B658" t="s">
        <v>1101</v>
      </c>
      <c r="C658" t="s">
        <v>1102</v>
      </c>
      <c r="D658">
        <v>451</v>
      </c>
      <c r="E658" t="s">
        <v>307</v>
      </c>
      <c r="O658" t="s">
        <v>45</v>
      </c>
      <c r="P658" t="s">
        <v>42</v>
      </c>
      <c r="Q658" t="s">
        <v>40</v>
      </c>
      <c r="T658" s="8">
        <v>60</v>
      </c>
      <c r="V658" t="s">
        <v>308</v>
      </c>
      <c r="W658" s="8">
        <v>89.067769999999996</v>
      </c>
      <c r="X658">
        <v>39121434</v>
      </c>
      <c r="Y658" s="9">
        <v>53.440661999999897</v>
      </c>
      <c r="Z658">
        <v>39121434</v>
      </c>
      <c r="AA658" s="9">
        <v>53.440661999999897</v>
      </c>
      <c r="AB658" t="b">
        <f t="shared" si="10"/>
        <v>0</v>
      </c>
    </row>
    <row r="659" spans="1:28" x14ac:dyDescent="0.3">
      <c r="A659">
        <v>897712</v>
      </c>
      <c r="B659" t="s">
        <v>1241</v>
      </c>
      <c r="C659" t="s">
        <v>42</v>
      </c>
      <c r="D659" t="s">
        <v>1242</v>
      </c>
      <c r="O659" t="s">
        <v>45</v>
      </c>
      <c r="P659" t="s">
        <v>42</v>
      </c>
      <c r="Q659" t="s">
        <v>40</v>
      </c>
      <c r="T659" s="8">
        <v>60</v>
      </c>
      <c r="X659">
        <v>39121700</v>
      </c>
      <c r="Y659" s="8">
        <v>60.236190000000001</v>
      </c>
      <c r="Z659">
        <v>39121700</v>
      </c>
      <c r="AA659" s="8">
        <v>60.236190000000001</v>
      </c>
      <c r="AB659" t="b">
        <f t="shared" si="10"/>
        <v>0</v>
      </c>
    </row>
    <row r="660" spans="1:28" x14ac:dyDescent="0.3">
      <c r="A660">
        <v>897713</v>
      </c>
      <c r="B660" t="s">
        <v>1888</v>
      </c>
      <c r="C660" t="s">
        <v>1113</v>
      </c>
      <c r="D660" t="s">
        <v>1889</v>
      </c>
      <c r="E660" t="s">
        <v>1890</v>
      </c>
      <c r="O660" t="s">
        <v>45</v>
      </c>
      <c r="P660" t="s">
        <v>42</v>
      </c>
      <c r="Q660" t="s">
        <v>40</v>
      </c>
      <c r="T660" s="8">
        <v>60</v>
      </c>
      <c r="X660">
        <v>39121464</v>
      </c>
      <c r="Y660" s="8">
        <v>80.518704999999997</v>
      </c>
      <c r="Z660">
        <v>39121464</v>
      </c>
      <c r="AA660" s="8">
        <v>80.518704999999997</v>
      </c>
      <c r="AB660" t="b">
        <f t="shared" si="10"/>
        <v>0</v>
      </c>
    </row>
    <row r="661" spans="1:28" x14ac:dyDescent="0.3">
      <c r="A661">
        <v>897714</v>
      </c>
      <c r="B661" t="s">
        <v>1891</v>
      </c>
      <c r="C661" t="s">
        <v>1892</v>
      </c>
      <c r="D661" t="s">
        <v>1893</v>
      </c>
      <c r="X661">
        <v>26121614</v>
      </c>
      <c r="Y661" s="8">
        <v>81.526195999999999</v>
      </c>
      <c r="Z661">
        <v>26121614</v>
      </c>
      <c r="AA661" s="9">
        <v>81.524019999999993</v>
      </c>
      <c r="AB661" t="b">
        <f t="shared" si="10"/>
        <v>0</v>
      </c>
    </row>
    <row r="662" spans="1:28" x14ac:dyDescent="0.3">
      <c r="A662">
        <v>897715</v>
      </c>
      <c r="B662" t="s">
        <v>1894</v>
      </c>
      <c r="C662" t="s">
        <v>1102</v>
      </c>
      <c r="D662" t="s">
        <v>1895</v>
      </c>
      <c r="E662" t="s">
        <v>1896</v>
      </c>
      <c r="G662">
        <v>338077</v>
      </c>
      <c r="H662" t="s">
        <v>1897</v>
      </c>
      <c r="I662" t="s">
        <v>308</v>
      </c>
      <c r="J662" s="5">
        <v>662277001977</v>
      </c>
      <c r="K662">
        <v>39121312</v>
      </c>
      <c r="L662" t="s">
        <v>1896</v>
      </c>
      <c r="M662">
        <v>256336</v>
      </c>
      <c r="N662" t="s">
        <v>1898</v>
      </c>
      <c r="O662" t="s">
        <v>308</v>
      </c>
      <c r="Q662" t="s">
        <v>86</v>
      </c>
      <c r="R662" s="9">
        <v>0.94678576613341803</v>
      </c>
      <c r="S662" s="9">
        <v>94.839288306670895</v>
      </c>
      <c r="T662" s="9">
        <v>94.839288306670895</v>
      </c>
      <c r="U662" s="8">
        <v>100</v>
      </c>
      <c r="V662" t="s">
        <v>308</v>
      </c>
      <c r="W662" s="8">
        <v>94.94744</v>
      </c>
      <c r="X662">
        <v>39121312</v>
      </c>
      <c r="Y662" s="8">
        <v>94.94744</v>
      </c>
      <c r="Z662">
        <v>39121312</v>
      </c>
      <c r="AA662" s="8">
        <v>94.94744</v>
      </c>
      <c r="AB662" t="b">
        <f t="shared" si="10"/>
        <v>0</v>
      </c>
    </row>
    <row r="663" spans="1:28" x14ac:dyDescent="0.3">
      <c r="A663">
        <v>897716</v>
      </c>
      <c r="B663" t="s">
        <v>1899</v>
      </c>
      <c r="C663" t="s">
        <v>1892</v>
      </c>
      <c r="D663" t="s">
        <v>1900</v>
      </c>
      <c r="E663" t="s">
        <v>1901</v>
      </c>
      <c r="X663">
        <v>26121614</v>
      </c>
      <c r="Y663" s="8">
        <v>81.275019999999998</v>
      </c>
      <c r="Z663">
        <v>26121614</v>
      </c>
      <c r="AA663" s="8">
        <v>81.275019999999998</v>
      </c>
      <c r="AB663" t="b">
        <f t="shared" si="10"/>
        <v>0</v>
      </c>
    </row>
    <row r="664" spans="1:28" x14ac:dyDescent="0.3">
      <c r="A664">
        <v>897717</v>
      </c>
      <c r="B664" t="s">
        <v>1387</v>
      </c>
      <c r="C664" t="s">
        <v>1102</v>
      </c>
      <c r="D664">
        <v>465</v>
      </c>
      <c r="E664" t="s">
        <v>1388</v>
      </c>
      <c r="O664" t="s">
        <v>45</v>
      </c>
      <c r="P664" t="s">
        <v>42</v>
      </c>
      <c r="Q664" t="s">
        <v>40</v>
      </c>
      <c r="T664" s="8">
        <v>60</v>
      </c>
      <c r="V664" t="s">
        <v>308</v>
      </c>
      <c r="W664" s="8">
        <v>85.251589999999993</v>
      </c>
      <c r="X664">
        <v>39131700</v>
      </c>
      <c r="Y664" s="9">
        <v>84.788969999999907</v>
      </c>
      <c r="Z664">
        <v>39131700</v>
      </c>
      <c r="AA664" s="9">
        <v>84.788969999999907</v>
      </c>
      <c r="AB664" t="b">
        <f t="shared" si="10"/>
        <v>0</v>
      </c>
    </row>
    <row r="665" spans="1:28" x14ac:dyDescent="0.3">
      <c r="A665">
        <v>897718</v>
      </c>
      <c r="B665" t="s">
        <v>1902</v>
      </c>
      <c r="C665" t="s">
        <v>1892</v>
      </c>
      <c r="D665" t="s">
        <v>1903</v>
      </c>
      <c r="E665" t="s">
        <v>1904</v>
      </c>
      <c r="X665">
        <v>26121614</v>
      </c>
      <c r="Y665" s="9">
        <v>81.115406999999905</v>
      </c>
      <c r="Z665">
        <v>26121614</v>
      </c>
      <c r="AA665" s="8">
        <v>81.116574999999997</v>
      </c>
      <c r="AB665" t="b">
        <f t="shared" si="10"/>
        <v>0</v>
      </c>
    </row>
    <row r="666" spans="1:28" x14ac:dyDescent="0.3">
      <c r="A666">
        <v>897719</v>
      </c>
      <c r="B666" t="s">
        <v>1905</v>
      </c>
      <c r="C666" t="s">
        <v>1841</v>
      </c>
      <c r="D666" t="s">
        <v>1906</v>
      </c>
      <c r="E666" t="s">
        <v>1907</v>
      </c>
      <c r="O666" t="s">
        <v>227</v>
      </c>
      <c r="P666" t="s">
        <v>223</v>
      </c>
      <c r="Q666" t="s">
        <v>40</v>
      </c>
      <c r="T666" s="8">
        <v>60</v>
      </c>
      <c r="V666" t="s">
        <v>1845</v>
      </c>
      <c r="W666" s="8">
        <v>94.512635000000003</v>
      </c>
      <c r="X666">
        <v>31162906</v>
      </c>
      <c r="Y666" s="8">
        <v>94.512635000000003</v>
      </c>
      <c r="Z666">
        <v>31162906</v>
      </c>
      <c r="AA666" s="8">
        <v>94.003707500000004</v>
      </c>
      <c r="AB666" t="b">
        <f t="shared" si="10"/>
        <v>0</v>
      </c>
    </row>
    <row r="667" spans="1:28" x14ac:dyDescent="0.3">
      <c r="A667">
        <v>897720</v>
      </c>
      <c r="B667" t="s">
        <v>1908</v>
      </c>
      <c r="C667" t="s">
        <v>1892</v>
      </c>
      <c r="D667" t="s">
        <v>1909</v>
      </c>
      <c r="E667" t="s">
        <v>1910</v>
      </c>
      <c r="X667">
        <v>26121614</v>
      </c>
      <c r="Y667" s="8">
        <v>80.938990000000004</v>
      </c>
      <c r="Z667">
        <v>26121614</v>
      </c>
      <c r="AA667" s="8">
        <v>80.934775000000002</v>
      </c>
      <c r="AB667" t="b">
        <f t="shared" si="10"/>
        <v>0</v>
      </c>
    </row>
    <row r="668" spans="1:28" x14ac:dyDescent="0.3">
      <c r="A668">
        <v>897721</v>
      </c>
      <c r="B668" t="s">
        <v>1911</v>
      </c>
      <c r="C668" t="s">
        <v>1102</v>
      </c>
      <c r="D668">
        <v>455</v>
      </c>
      <c r="E668" t="s">
        <v>476</v>
      </c>
      <c r="O668" t="s">
        <v>45</v>
      </c>
      <c r="P668" t="s">
        <v>42</v>
      </c>
      <c r="Q668" t="s">
        <v>40</v>
      </c>
      <c r="T668" s="8">
        <v>60</v>
      </c>
      <c r="V668" t="s">
        <v>308</v>
      </c>
      <c r="W668" s="9">
        <v>88.585709999999906</v>
      </c>
      <c r="X668">
        <v>39121434</v>
      </c>
      <c r="Y668" s="8">
        <v>70.868567999999996</v>
      </c>
      <c r="Z668">
        <v>39121434</v>
      </c>
      <c r="AA668" s="8">
        <v>70.868567999999996</v>
      </c>
      <c r="AB668" t="b">
        <f t="shared" si="10"/>
        <v>0</v>
      </c>
    </row>
    <row r="669" spans="1:28" x14ac:dyDescent="0.3">
      <c r="A669">
        <v>897722</v>
      </c>
      <c r="B669" t="s">
        <v>1912</v>
      </c>
      <c r="C669" t="s">
        <v>1892</v>
      </c>
      <c r="D669" t="s">
        <v>1913</v>
      </c>
      <c r="E669" t="s">
        <v>1914</v>
      </c>
      <c r="O669" t="s">
        <v>38</v>
      </c>
      <c r="P669" t="s">
        <v>39</v>
      </c>
      <c r="Q669" t="s">
        <v>40</v>
      </c>
      <c r="T669" s="8">
        <v>60</v>
      </c>
      <c r="X669">
        <v>26121614</v>
      </c>
      <c r="Y669" s="9">
        <v>79.231439999999907</v>
      </c>
      <c r="Z669">
        <v>26121614</v>
      </c>
      <c r="AA669" s="9">
        <v>79.231539999999995</v>
      </c>
      <c r="AB669" t="b">
        <f t="shared" si="10"/>
        <v>0</v>
      </c>
    </row>
    <row r="670" spans="1:28" x14ac:dyDescent="0.3">
      <c r="A670">
        <v>897723</v>
      </c>
      <c r="B670" t="s">
        <v>1915</v>
      </c>
      <c r="C670" t="s">
        <v>1841</v>
      </c>
      <c r="D670" t="s">
        <v>1916</v>
      </c>
      <c r="E670" t="s">
        <v>1917</v>
      </c>
      <c r="O670" t="s">
        <v>227</v>
      </c>
      <c r="P670" t="s">
        <v>223</v>
      </c>
      <c r="Q670" t="s">
        <v>40</v>
      </c>
      <c r="T670" s="8">
        <v>60</v>
      </c>
      <c r="X670">
        <v>31162906</v>
      </c>
      <c r="Y670" s="8">
        <v>78.923410000000004</v>
      </c>
      <c r="Z670">
        <v>31162906</v>
      </c>
      <c r="AA670" s="8">
        <v>78.923410000000004</v>
      </c>
      <c r="AB670" t="b">
        <f t="shared" si="10"/>
        <v>0</v>
      </c>
    </row>
    <row r="671" spans="1:28" x14ac:dyDescent="0.3">
      <c r="A671">
        <v>897724</v>
      </c>
      <c r="B671" t="s">
        <v>1387</v>
      </c>
      <c r="C671" t="s">
        <v>1102</v>
      </c>
      <c r="D671">
        <v>465</v>
      </c>
      <c r="E671" t="s">
        <v>1388</v>
      </c>
      <c r="O671" t="s">
        <v>45</v>
      </c>
      <c r="P671" t="s">
        <v>42</v>
      </c>
      <c r="Q671" t="s">
        <v>40</v>
      </c>
      <c r="T671" s="8">
        <v>60</v>
      </c>
      <c r="V671" t="s">
        <v>308</v>
      </c>
      <c r="W671" s="8">
        <v>85.251589999999993</v>
      </c>
      <c r="X671">
        <v>39131700</v>
      </c>
      <c r="Y671" s="9">
        <v>84.788969999999907</v>
      </c>
      <c r="Z671">
        <v>39131700</v>
      </c>
      <c r="AA671" s="9">
        <v>84.788969999999907</v>
      </c>
      <c r="AB671" t="b">
        <f t="shared" si="10"/>
        <v>0</v>
      </c>
    </row>
    <row r="672" spans="1:28" x14ac:dyDescent="0.3">
      <c r="A672">
        <v>897725</v>
      </c>
      <c r="B672" t="s">
        <v>1129</v>
      </c>
      <c r="AB672" t="b">
        <f t="shared" si="10"/>
        <v>0</v>
      </c>
    </row>
    <row r="673" spans="1:28" x14ac:dyDescent="0.3">
      <c r="A673">
        <v>897726</v>
      </c>
      <c r="B673" t="s">
        <v>1894</v>
      </c>
      <c r="C673" t="s">
        <v>1102</v>
      </c>
      <c r="D673" t="s">
        <v>1895</v>
      </c>
      <c r="E673" t="s">
        <v>1896</v>
      </c>
      <c r="G673">
        <v>338077</v>
      </c>
      <c r="H673" t="s">
        <v>1897</v>
      </c>
      <c r="I673" t="s">
        <v>308</v>
      </c>
      <c r="J673" s="5">
        <v>662277001977</v>
      </c>
      <c r="K673">
        <v>39121312</v>
      </c>
      <c r="L673" t="s">
        <v>1896</v>
      </c>
      <c r="M673">
        <v>256336</v>
      </c>
      <c r="N673" t="s">
        <v>1898</v>
      </c>
      <c r="O673" t="s">
        <v>308</v>
      </c>
      <c r="Q673" t="s">
        <v>86</v>
      </c>
      <c r="R673" s="9">
        <v>0.94678576613341803</v>
      </c>
      <c r="S673" s="9">
        <v>94.839288306670895</v>
      </c>
      <c r="T673" s="9">
        <v>94.839288306670895</v>
      </c>
      <c r="U673" s="8">
        <v>100</v>
      </c>
      <c r="V673" t="s">
        <v>308</v>
      </c>
      <c r="W673" s="8">
        <v>94.94744</v>
      </c>
      <c r="X673">
        <v>39121312</v>
      </c>
      <c r="Y673" s="8">
        <v>94.94744</v>
      </c>
      <c r="Z673">
        <v>39121312</v>
      </c>
      <c r="AA673" s="8">
        <v>94.94744</v>
      </c>
      <c r="AB673" t="b">
        <f t="shared" si="10"/>
        <v>0</v>
      </c>
    </row>
    <row r="674" spans="1:28" x14ac:dyDescent="0.3">
      <c r="A674">
        <v>897727</v>
      </c>
      <c r="B674" t="s">
        <v>1918</v>
      </c>
      <c r="C674" t="s">
        <v>1163</v>
      </c>
      <c r="D674" t="s">
        <v>1919</v>
      </c>
      <c r="E674" t="s">
        <v>1920</v>
      </c>
      <c r="X674">
        <v>39121701</v>
      </c>
      <c r="Y674" s="8">
        <v>78.311580000000006</v>
      </c>
      <c r="Z674">
        <v>39121701</v>
      </c>
      <c r="AA674" s="8">
        <v>78.311580000000006</v>
      </c>
      <c r="AB674" t="b">
        <f t="shared" si="10"/>
        <v>0</v>
      </c>
    </row>
    <row r="675" spans="1:28" x14ac:dyDescent="0.3">
      <c r="A675">
        <v>897728</v>
      </c>
      <c r="B675" t="s">
        <v>1921</v>
      </c>
      <c r="C675" t="s">
        <v>1841</v>
      </c>
      <c r="D675" t="s">
        <v>1922</v>
      </c>
      <c r="E675" t="s">
        <v>1923</v>
      </c>
      <c r="O675" t="s">
        <v>45</v>
      </c>
      <c r="P675" t="s">
        <v>42</v>
      </c>
      <c r="Q675" t="s">
        <v>51</v>
      </c>
      <c r="T675" s="8">
        <v>50</v>
      </c>
      <c r="V675" t="s">
        <v>1845</v>
      </c>
      <c r="W675" s="8">
        <v>86.667270000000002</v>
      </c>
      <c r="X675">
        <v>31162906</v>
      </c>
      <c r="Y675" s="8">
        <v>86.667270000000002</v>
      </c>
      <c r="Z675">
        <v>31162906</v>
      </c>
      <c r="AA675" s="8">
        <v>86.667270000000002</v>
      </c>
      <c r="AB675" t="b">
        <f t="shared" si="10"/>
        <v>0</v>
      </c>
    </row>
    <row r="676" spans="1:28" x14ac:dyDescent="0.3">
      <c r="A676">
        <v>897729</v>
      </c>
      <c r="B676" t="s">
        <v>1924</v>
      </c>
      <c r="C676" t="s">
        <v>1841</v>
      </c>
      <c r="D676" t="s">
        <v>1925</v>
      </c>
      <c r="E676" t="s">
        <v>1926</v>
      </c>
      <c r="O676" t="s">
        <v>227</v>
      </c>
      <c r="P676" t="s">
        <v>223</v>
      </c>
      <c r="Q676" t="s">
        <v>40</v>
      </c>
      <c r="T676" s="8">
        <v>60</v>
      </c>
      <c r="X676">
        <v>31162906</v>
      </c>
      <c r="Y676" s="8">
        <v>83.686350000000004</v>
      </c>
      <c r="Z676">
        <v>31162906</v>
      </c>
      <c r="AA676" s="8">
        <v>83.686350000000004</v>
      </c>
      <c r="AB676" t="b">
        <f t="shared" si="10"/>
        <v>0</v>
      </c>
    </row>
    <row r="677" spans="1:28" x14ac:dyDescent="0.3">
      <c r="A677">
        <v>897730</v>
      </c>
      <c r="B677" t="s">
        <v>1927</v>
      </c>
      <c r="C677" t="s">
        <v>1102</v>
      </c>
      <c r="D677">
        <v>462</v>
      </c>
      <c r="E677" t="s">
        <v>1299</v>
      </c>
      <c r="O677" t="s">
        <v>45</v>
      </c>
      <c r="P677" t="s">
        <v>42</v>
      </c>
      <c r="Q677" t="s">
        <v>40</v>
      </c>
      <c r="T677" s="8">
        <v>60</v>
      </c>
      <c r="V677" t="s">
        <v>308</v>
      </c>
      <c r="W677" s="9">
        <v>86.442629999999994</v>
      </c>
      <c r="X677">
        <v>39131700</v>
      </c>
      <c r="Y677" s="9">
        <v>85.760089999999906</v>
      </c>
      <c r="Z677">
        <v>39131700</v>
      </c>
      <c r="AA677" s="9">
        <v>85.760089999999906</v>
      </c>
      <c r="AB677" t="b">
        <f t="shared" si="10"/>
        <v>0</v>
      </c>
    </row>
    <row r="678" spans="1:28" x14ac:dyDescent="0.3">
      <c r="A678">
        <v>897731</v>
      </c>
      <c r="B678" t="s">
        <v>1928</v>
      </c>
      <c r="C678" t="s">
        <v>1102</v>
      </c>
      <c r="D678" t="s">
        <v>1929</v>
      </c>
      <c r="E678" t="s">
        <v>1930</v>
      </c>
      <c r="G678">
        <v>338030</v>
      </c>
      <c r="H678" t="s">
        <v>1931</v>
      </c>
      <c r="I678" t="s">
        <v>308</v>
      </c>
      <c r="J678" s="5">
        <v>784564744517</v>
      </c>
      <c r="K678">
        <v>39131708</v>
      </c>
      <c r="L678" t="s">
        <v>1930</v>
      </c>
      <c r="M678">
        <v>256305</v>
      </c>
      <c r="N678" t="s">
        <v>1932</v>
      </c>
      <c r="O678" t="s">
        <v>308</v>
      </c>
      <c r="Q678" t="s">
        <v>86</v>
      </c>
      <c r="R678" s="8">
        <v>0.95482401720473098</v>
      </c>
      <c r="S678" s="9">
        <v>95.241200860236503</v>
      </c>
      <c r="T678" s="9">
        <v>95.241200860236503</v>
      </c>
      <c r="U678" s="8">
        <v>100</v>
      </c>
      <c r="V678" t="s">
        <v>308</v>
      </c>
      <c r="W678" s="9">
        <v>95.677659999999904</v>
      </c>
      <c r="X678">
        <v>39131708</v>
      </c>
      <c r="Y678" s="9">
        <v>95.677659999999904</v>
      </c>
      <c r="Z678">
        <v>39131708</v>
      </c>
      <c r="AA678" s="8">
        <v>95.677660000000003</v>
      </c>
      <c r="AB678" t="b">
        <f t="shared" si="10"/>
        <v>0</v>
      </c>
    </row>
    <row r="679" spans="1:28" x14ac:dyDescent="0.3">
      <c r="A679">
        <v>897732</v>
      </c>
      <c r="B679" t="s">
        <v>1933</v>
      </c>
      <c r="C679" t="s">
        <v>1102</v>
      </c>
      <c r="D679">
        <v>452</v>
      </c>
      <c r="E679" t="s">
        <v>1934</v>
      </c>
      <c r="O679" t="s">
        <v>45</v>
      </c>
      <c r="P679" t="s">
        <v>42</v>
      </c>
      <c r="Q679" t="s">
        <v>40</v>
      </c>
      <c r="T679" s="8">
        <v>60</v>
      </c>
      <c r="V679" t="s">
        <v>308</v>
      </c>
      <c r="W679" s="8">
        <v>85.252489999999995</v>
      </c>
      <c r="X679">
        <v>39121434</v>
      </c>
      <c r="Y679" s="8">
        <v>85.252489999999995</v>
      </c>
      <c r="Z679">
        <v>39121434</v>
      </c>
      <c r="AA679" s="8">
        <v>85.252489999999995</v>
      </c>
      <c r="AB679" t="b">
        <f t="shared" si="10"/>
        <v>0</v>
      </c>
    </row>
    <row r="680" spans="1:28" x14ac:dyDescent="0.3">
      <c r="A680">
        <v>897733</v>
      </c>
      <c r="B680" t="s">
        <v>1935</v>
      </c>
      <c r="C680" t="s">
        <v>1587</v>
      </c>
      <c r="D680" t="s">
        <v>1936</v>
      </c>
      <c r="E680" t="s">
        <v>1937</v>
      </c>
      <c r="O680" t="s">
        <v>1938</v>
      </c>
      <c r="P680" t="s">
        <v>1939</v>
      </c>
      <c r="Q680" t="s">
        <v>51</v>
      </c>
      <c r="T680" s="8">
        <v>50</v>
      </c>
      <c r="X680">
        <v>39131700</v>
      </c>
      <c r="Y680" s="8">
        <v>48.822096000000002</v>
      </c>
      <c r="Z680">
        <v>39131700</v>
      </c>
      <c r="AA680" s="8">
        <v>48.822096000000002</v>
      </c>
      <c r="AB680" t="b">
        <f t="shared" si="10"/>
        <v>0</v>
      </c>
    </row>
    <row r="681" spans="1:28" x14ac:dyDescent="0.3">
      <c r="A681">
        <v>897734</v>
      </c>
      <c r="B681" t="s">
        <v>1940</v>
      </c>
      <c r="C681" t="s">
        <v>1587</v>
      </c>
      <c r="D681" t="s">
        <v>1941</v>
      </c>
      <c r="E681" t="s">
        <v>1942</v>
      </c>
      <c r="O681" t="s">
        <v>1938</v>
      </c>
      <c r="P681" t="s">
        <v>1939</v>
      </c>
      <c r="Q681" t="s">
        <v>51</v>
      </c>
      <c r="T681" s="8">
        <v>50</v>
      </c>
      <c r="X681">
        <v>39131700</v>
      </c>
      <c r="Y681" s="8">
        <v>49.170488400000004</v>
      </c>
      <c r="Z681">
        <v>39131700</v>
      </c>
      <c r="AA681" s="8">
        <v>49.170488400000004</v>
      </c>
      <c r="AB681" t="b">
        <f t="shared" si="10"/>
        <v>0</v>
      </c>
    </row>
    <row r="682" spans="1:28" x14ac:dyDescent="0.3">
      <c r="A682">
        <v>897735</v>
      </c>
      <c r="B682" t="s">
        <v>1943</v>
      </c>
      <c r="C682" t="s">
        <v>1113</v>
      </c>
      <c r="D682" t="s">
        <v>1944</v>
      </c>
      <c r="E682" t="s">
        <v>1945</v>
      </c>
      <c r="X682">
        <v>39131717</v>
      </c>
      <c r="Y682" s="8">
        <v>77.125140000000002</v>
      </c>
      <c r="Z682">
        <v>39131717</v>
      </c>
      <c r="AA682" s="8">
        <v>77.125140000000002</v>
      </c>
      <c r="AB682" t="b">
        <f t="shared" si="10"/>
        <v>0</v>
      </c>
    </row>
    <row r="683" spans="1:28" x14ac:dyDescent="0.3">
      <c r="A683">
        <v>897736</v>
      </c>
      <c r="B683" t="s">
        <v>1946</v>
      </c>
      <c r="C683" t="s">
        <v>1113</v>
      </c>
      <c r="D683" t="s">
        <v>1947</v>
      </c>
      <c r="E683" t="s">
        <v>1948</v>
      </c>
      <c r="X683">
        <v>39131717</v>
      </c>
      <c r="Y683" s="8">
        <v>61.383547999999998</v>
      </c>
      <c r="Z683">
        <v>39131717</v>
      </c>
      <c r="AA683" s="8">
        <v>61.383547999999998</v>
      </c>
      <c r="AB683" t="b">
        <f t="shared" si="10"/>
        <v>0</v>
      </c>
    </row>
    <row r="684" spans="1:28" x14ac:dyDescent="0.3">
      <c r="A684">
        <v>897737</v>
      </c>
      <c r="B684" t="s">
        <v>1949</v>
      </c>
      <c r="C684" t="s">
        <v>1102</v>
      </c>
      <c r="D684">
        <v>713</v>
      </c>
      <c r="E684" t="s">
        <v>1950</v>
      </c>
      <c r="O684" t="s">
        <v>45</v>
      </c>
      <c r="P684" t="s">
        <v>1272</v>
      </c>
      <c r="Q684" t="s">
        <v>40</v>
      </c>
      <c r="T684" s="8">
        <v>70</v>
      </c>
      <c r="V684" t="s">
        <v>308</v>
      </c>
      <c r="W684" s="8">
        <v>86.473240000000004</v>
      </c>
      <c r="X684">
        <v>39121420</v>
      </c>
      <c r="Y684" s="8">
        <v>51.816575999999998</v>
      </c>
      <c r="Z684">
        <v>39121420</v>
      </c>
      <c r="AA684" s="8">
        <v>51.816575999999998</v>
      </c>
      <c r="AB684" t="b">
        <f t="shared" si="10"/>
        <v>0</v>
      </c>
    </row>
    <row r="685" spans="1:28" x14ac:dyDescent="0.3">
      <c r="A685">
        <v>897738</v>
      </c>
      <c r="B685" t="s">
        <v>1951</v>
      </c>
      <c r="C685" t="s">
        <v>1102</v>
      </c>
      <c r="D685" t="s">
        <v>1952</v>
      </c>
      <c r="E685" t="s">
        <v>1953</v>
      </c>
      <c r="X685">
        <v>39121308</v>
      </c>
      <c r="Y685" s="9">
        <v>81.333243999999993</v>
      </c>
      <c r="Z685">
        <v>39121308</v>
      </c>
      <c r="AA685" s="9">
        <v>81.333243999999993</v>
      </c>
      <c r="AB685" t="b">
        <f t="shared" si="10"/>
        <v>0</v>
      </c>
    </row>
    <row r="686" spans="1:28" x14ac:dyDescent="0.3">
      <c r="A686">
        <v>897739</v>
      </c>
      <c r="B686" t="s">
        <v>1954</v>
      </c>
      <c r="C686" t="s">
        <v>1102</v>
      </c>
      <c r="D686" t="s">
        <v>1955</v>
      </c>
      <c r="E686" t="s">
        <v>1956</v>
      </c>
      <c r="X686">
        <v>39121300</v>
      </c>
      <c r="Y686" s="9">
        <v>47.204123999999901</v>
      </c>
      <c r="Z686">
        <v>39121300</v>
      </c>
      <c r="AA686" s="9">
        <v>47.204123999999901</v>
      </c>
      <c r="AB686" t="b">
        <f t="shared" si="10"/>
        <v>0</v>
      </c>
    </row>
    <row r="687" spans="1:28" x14ac:dyDescent="0.3">
      <c r="A687">
        <v>897740</v>
      </c>
      <c r="B687" t="s">
        <v>1957</v>
      </c>
      <c r="C687" t="s">
        <v>1102</v>
      </c>
      <c r="D687">
        <v>51</v>
      </c>
      <c r="E687" t="s">
        <v>1958</v>
      </c>
      <c r="O687" t="s">
        <v>1230</v>
      </c>
      <c r="P687" t="s">
        <v>1231</v>
      </c>
      <c r="Q687" t="s">
        <v>40</v>
      </c>
      <c r="T687" s="8">
        <v>60</v>
      </c>
      <c r="X687">
        <v>39121420</v>
      </c>
      <c r="Y687" s="9">
        <v>63.363783999999903</v>
      </c>
      <c r="Z687">
        <v>39121420</v>
      </c>
      <c r="AA687" s="9">
        <v>63.363783999999903</v>
      </c>
      <c r="AB687" t="b">
        <f t="shared" si="10"/>
        <v>0</v>
      </c>
    </row>
    <row r="688" spans="1:28" ht="57.6" x14ac:dyDescent="0.3">
      <c r="A688">
        <v>897741</v>
      </c>
      <c r="B688" s="2" t="s">
        <v>1959</v>
      </c>
      <c r="C688" t="s">
        <v>1960</v>
      </c>
      <c r="D688" t="s">
        <v>1961</v>
      </c>
      <c r="O688" t="s">
        <v>907</v>
      </c>
      <c r="P688" t="s">
        <v>907</v>
      </c>
      <c r="Q688" t="s">
        <v>40</v>
      </c>
      <c r="T688" s="8">
        <v>80</v>
      </c>
      <c r="AB688" t="b">
        <f t="shared" si="10"/>
        <v>0</v>
      </c>
    </row>
    <row r="689" spans="1:28" x14ac:dyDescent="0.3">
      <c r="A689">
        <v>897742</v>
      </c>
      <c r="B689" t="s">
        <v>1962</v>
      </c>
      <c r="C689" t="s">
        <v>1104</v>
      </c>
      <c r="D689" t="s">
        <v>1963</v>
      </c>
      <c r="E689" t="s">
        <v>1964</v>
      </c>
      <c r="G689">
        <v>213237</v>
      </c>
      <c r="H689" t="s">
        <v>1963</v>
      </c>
      <c r="I689" t="s">
        <v>321</v>
      </c>
      <c r="J689" s="5">
        <v>781002252085</v>
      </c>
      <c r="K689">
        <v>31162101</v>
      </c>
      <c r="M689">
        <v>217799</v>
      </c>
      <c r="N689" t="s">
        <v>1965</v>
      </c>
      <c r="O689" t="s">
        <v>321</v>
      </c>
      <c r="Q689" t="s">
        <v>86</v>
      </c>
      <c r="R689" s="9">
        <v>0.92077889176674699</v>
      </c>
      <c r="S689" s="9">
        <v>83.538944588337301</v>
      </c>
      <c r="T689" s="9">
        <v>87.538944588337301</v>
      </c>
      <c r="U689" s="8">
        <v>100</v>
      </c>
      <c r="V689" t="s">
        <v>321</v>
      </c>
      <c r="W689" s="8">
        <v>92.659413999999998</v>
      </c>
      <c r="X689">
        <v>31162101</v>
      </c>
      <c r="Y689" s="8">
        <v>92.659413999999998</v>
      </c>
      <c r="Z689">
        <v>31162101</v>
      </c>
      <c r="AA689" s="8">
        <v>91.852782000000005</v>
      </c>
      <c r="AB689" t="b">
        <f t="shared" si="10"/>
        <v>0</v>
      </c>
    </row>
    <row r="690" spans="1:28" x14ac:dyDescent="0.3">
      <c r="A690">
        <v>897743</v>
      </c>
      <c r="B690" t="s">
        <v>1935</v>
      </c>
      <c r="C690" t="s">
        <v>1587</v>
      </c>
      <c r="D690" t="s">
        <v>1936</v>
      </c>
      <c r="E690" t="s">
        <v>1937</v>
      </c>
      <c r="O690" t="s">
        <v>1938</v>
      </c>
      <c r="P690" t="s">
        <v>1939</v>
      </c>
      <c r="Q690" t="s">
        <v>51</v>
      </c>
      <c r="T690" s="8">
        <v>50</v>
      </c>
      <c r="X690">
        <v>39131700</v>
      </c>
      <c r="Y690" s="8">
        <v>48.822096000000002</v>
      </c>
      <c r="Z690">
        <v>39131700</v>
      </c>
      <c r="AA690" s="8">
        <v>48.822096000000002</v>
      </c>
      <c r="AB690" t="b">
        <f t="shared" si="10"/>
        <v>0</v>
      </c>
    </row>
    <row r="691" spans="1:28" x14ac:dyDescent="0.3">
      <c r="A691">
        <v>897744</v>
      </c>
      <c r="B691" t="s">
        <v>1966</v>
      </c>
      <c r="C691" t="s">
        <v>1587</v>
      </c>
      <c r="D691" t="s">
        <v>1967</v>
      </c>
      <c r="E691" t="s">
        <v>1968</v>
      </c>
      <c r="O691" t="s">
        <v>1938</v>
      </c>
      <c r="P691" t="s">
        <v>1939</v>
      </c>
      <c r="Q691" t="s">
        <v>51</v>
      </c>
      <c r="T691" s="8">
        <v>50</v>
      </c>
      <c r="X691">
        <v>39131700</v>
      </c>
      <c r="Y691" s="9">
        <v>49.161314999999902</v>
      </c>
      <c r="Z691">
        <v>39131700</v>
      </c>
      <c r="AA691" s="9">
        <v>49.161314999999902</v>
      </c>
      <c r="AB691" t="b">
        <f t="shared" si="10"/>
        <v>0</v>
      </c>
    </row>
    <row r="692" spans="1:28" x14ac:dyDescent="0.3">
      <c r="A692">
        <v>897745</v>
      </c>
      <c r="B692" t="s">
        <v>1969</v>
      </c>
      <c r="C692" t="s">
        <v>1102</v>
      </c>
      <c r="D692">
        <v>461</v>
      </c>
      <c r="E692" t="s">
        <v>1970</v>
      </c>
      <c r="O692" t="s">
        <v>45</v>
      </c>
      <c r="P692" t="s">
        <v>42</v>
      </c>
      <c r="Q692" t="s">
        <v>40</v>
      </c>
      <c r="T692" s="8">
        <v>60</v>
      </c>
      <c r="V692" t="s">
        <v>308</v>
      </c>
      <c r="W692" s="9">
        <v>86.760633999999996</v>
      </c>
      <c r="X692">
        <v>39131700</v>
      </c>
      <c r="Y692" s="8">
        <v>86.760633999999996</v>
      </c>
      <c r="Z692">
        <v>39131700</v>
      </c>
      <c r="AA692" s="8">
        <v>86.760633999999996</v>
      </c>
      <c r="AB692" t="b">
        <f t="shared" si="10"/>
        <v>0</v>
      </c>
    </row>
    <row r="693" spans="1:28" x14ac:dyDescent="0.3">
      <c r="A693">
        <v>897746</v>
      </c>
      <c r="B693" t="s">
        <v>1971</v>
      </c>
      <c r="C693" t="s">
        <v>1054</v>
      </c>
      <c r="D693" t="s">
        <v>1972</v>
      </c>
      <c r="E693" t="s">
        <v>1973</v>
      </c>
      <c r="G693">
        <v>337112</v>
      </c>
      <c r="H693" t="s">
        <v>1972</v>
      </c>
      <c r="I693" t="s">
        <v>104</v>
      </c>
      <c r="J693" s="5">
        <v>781011608231</v>
      </c>
      <c r="K693">
        <v>31162906</v>
      </c>
      <c r="L693" t="s">
        <v>1973</v>
      </c>
      <c r="M693">
        <v>253188</v>
      </c>
      <c r="N693" t="s">
        <v>1974</v>
      </c>
      <c r="O693" t="s">
        <v>48</v>
      </c>
      <c r="Q693" t="s">
        <v>75</v>
      </c>
      <c r="R693" s="9">
        <v>0.882118312521883</v>
      </c>
      <c r="S693" s="9">
        <v>81.605915626094102</v>
      </c>
      <c r="T693" s="9">
        <v>51.605915626094102</v>
      </c>
      <c r="U693" s="9">
        <v>91.423662504376694</v>
      </c>
      <c r="V693" t="s">
        <v>104</v>
      </c>
      <c r="W693" s="9">
        <v>91.219989999999896</v>
      </c>
      <c r="X693">
        <v>31162906</v>
      </c>
      <c r="Y693" s="9">
        <v>91.219989999999896</v>
      </c>
      <c r="Z693">
        <v>31162906</v>
      </c>
      <c r="AA693" s="8">
        <v>91.070494999999994</v>
      </c>
      <c r="AB693" t="b">
        <f t="shared" si="10"/>
        <v>0</v>
      </c>
    </row>
    <row r="694" spans="1:28" x14ac:dyDescent="0.3">
      <c r="A694">
        <v>897747</v>
      </c>
      <c r="B694" t="s">
        <v>1975</v>
      </c>
      <c r="C694" t="s">
        <v>1192</v>
      </c>
      <c r="D694" t="s">
        <v>1976</v>
      </c>
      <c r="E694" t="s">
        <v>1977</v>
      </c>
      <c r="O694" t="s">
        <v>144</v>
      </c>
      <c r="P694" t="s">
        <v>1192</v>
      </c>
      <c r="Q694" t="s">
        <v>40</v>
      </c>
      <c r="T694" s="8">
        <v>60</v>
      </c>
      <c r="X694">
        <v>31201502</v>
      </c>
      <c r="Y694" s="8">
        <v>79.778856000000005</v>
      </c>
      <c r="Z694">
        <v>31201502</v>
      </c>
      <c r="AA694" s="8">
        <v>79.777884</v>
      </c>
      <c r="AB694" t="b">
        <f t="shared" si="10"/>
        <v>0</v>
      </c>
    </row>
    <row r="695" spans="1:28" x14ac:dyDescent="0.3">
      <c r="A695">
        <v>897748</v>
      </c>
      <c r="B695" t="s">
        <v>1978</v>
      </c>
      <c r="C695" t="s">
        <v>1102</v>
      </c>
      <c r="D695">
        <v>55</v>
      </c>
      <c r="E695" t="s">
        <v>1979</v>
      </c>
      <c r="O695" t="s">
        <v>1230</v>
      </c>
      <c r="P695" t="s">
        <v>1231</v>
      </c>
      <c r="Q695" t="s">
        <v>40</v>
      </c>
      <c r="T695" s="8">
        <v>60</v>
      </c>
      <c r="X695">
        <v>39121420</v>
      </c>
      <c r="Y695" s="8">
        <v>63.788032000000001</v>
      </c>
      <c r="Z695">
        <v>39121420</v>
      </c>
      <c r="AA695" s="8">
        <v>63.788032000000001</v>
      </c>
      <c r="AB695" t="b">
        <f t="shared" si="10"/>
        <v>0</v>
      </c>
    </row>
    <row r="696" spans="1:28" x14ac:dyDescent="0.3">
      <c r="A696">
        <v>897749</v>
      </c>
      <c r="B696" t="s">
        <v>1980</v>
      </c>
      <c r="C696" t="s">
        <v>1131</v>
      </c>
      <c r="D696" t="s">
        <v>1981</v>
      </c>
      <c r="E696" t="s">
        <v>1982</v>
      </c>
      <c r="G696">
        <v>336267</v>
      </c>
      <c r="H696">
        <v>48324511</v>
      </c>
      <c r="I696" t="s">
        <v>164</v>
      </c>
      <c r="J696" s="6" t="s">
        <v>1983</v>
      </c>
      <c r="K696">
        <v>27112800</v>
      </c>
      <c r="L696" t="s">
        <v>1982</v>
      </c>
      <c r="M696">
        <v>264214</v>
      </c>
      <c r="N696" t="s">
        <v>1984</v>
      </c>
      <c r="O696" t="s">
        <v>164</v>
      </c>
      <c r="Q696" t="s">
        <v>86</v>
      </c>
      <c r="R696" s="9">
        <v>0.94250086080557305</v>
      </c>
      <c r="S696" s="9">
        <v>94.625043040278598</v>
      </c>
      <c r="T696" s="9">
        <v>94.625043040278598</v>
      </c>
      <c r="U696" s="8">
        <v>100</v>
      </c>
      <c r="V696" t="s">
        <v>164</v>
      </c>
      <c r="W696" s="8">
        <v>94.562745000000007</v>
      </c>
      <c r="X696">
        <v>27112800</v>
      </c>
      <c r="Y696" s="8">
        <v>94.562745000000007</v>
      </c>
      <c r="Z696">
        <v>27112800</v>
      </c>
      <c r="AA696" s="8">
        <v>94.562745000000007</v>
      </c>
      <c r="AB696" t="b">
        <f t="shared" si="10"/>
        <v>0</v>
      </c>
    </row>
    <row r="697" spans="1:28" x14ac:dyDescent="0.3">
      <c r="A697">
        <v>897750</v>
      </c>
      <c r="B697" t="s">
        <v>1985</v>
      </c>
      <c r="C697" t="s">
        <v>1104</v>
      </c>
      <c r="D697" t="s">
        <v>1986</v>
      </c>
      <c r="E697" t="s">
        <v>1987</v>
      </c>
      <c r="G697">
        <v>336050</v>
      </c>
      <c r="H697" t="s">
        <v>1988</v>
      </c>
      <c r="I697" t="s">
        <v>321</v>
      </c>
      <c r="J697" s="5">
        <v>781002175001</v>
      </c>
      <c r="K697">
        <v>31161528</v>
      </c>
      <c r="L697" t="s">
        <v>1987</v>
      </c>
      <c r="M697">
        <v>258077</v>
      </c>
      <c r="N697" t="s">
        <v>1989</v>
      </c>
      <c r="O697" t="s">
        <v>321</v>
      </c>
      <c r="Q697" t="s">
        <v>86</v>
      </c>
      <c r="R697" s="9">
        <v>0.98412789002268997</v>
      </c>
      <c r="S697" s="8">
        <v>100</v>
      </c>
      <c r="T697" s="8">
        <v>100</v>
      </c>
      <c r="U697" s="8">
        <v>100</v>
      </c>
      <c r="V697" t="s">
        <v>321</v>
      </c>
      <c r="W697" s="8">
        <v>98.43759</v>
      </c>
      <c r="X697">
        <v>31161528</v>
      </c>
      <c r="Y697" s="8">
        <v>98.43759</v>
      </c>
      <c r="Z697">
        <v>31161528</v>
      </c>
      <c r="AA697" s="8">
        <v>98.43759</v>
      </c>
      <c r="AB697" t="b">
        <f t="shared" si="10"/>
        <v>0</v>
      </c>
    </row>
    <row r="698" spans="1:28" x14ac:dyDescent="0.3">
      <c r="A698">
        <v>897751</v>
      </c>
      <c r="B698" t="s">
        <v>1127</v>
      </c>
      <c r="C698" t="s">
        <v>42</v>
      </c>
      <c r="D698" t="s">
        <v>1128</v>
      </c>
      <c r="O698" t="s">
        <v>45</v>
      </c>
      <c r="P698" t="s">
        <v>42</v>
      </c>
      <c r="Q698" t="s">
        <v>40</v>
      </c>
      <c r="T698" s="8">
        <v>60</v>
      </c>
      <c r="X698">
        <v>39121464</v>
      </c>
      <c r="Y698" s="8">
        <v>53.256520000000002</v>
      </c>
      <c r="Z698">
        <v>39121464</v>
      </c>
      <c r="AA698" s="8">
        <v>53.256520000000002</v>
      </c>
      <c r="AB698" t="b">
        <f t="shared" si="10"/>
        <v>0</v>
      </c>
    </row>
    <row r="699" spans="1:28" x14ac:dyDescent="0.3">
      <c r="A699">
        <v>897752</v>
      </c>
      <c r="B699" t="s">
        <v>1990</v>
      </c>
      <c r="C699" t="s">
        <v>1102</v>
      </c>
      <c r="D699">
        <v>201</v>
      </c>
      <c r="E699" t="s">
        <v>1991</v>
      </c>
      <c r="O699" t="s">
        <v>45</v>
      </c>
      <c r="P699" t="s">
        <v>42</v>
      </c>
      <c r="Q699" t="s">
        <v>40</v>
      </c>
      <c r="T699" s="8">
        <v>60</v>
      </c>
      <c r="X699">
        <v>39131700</v>
      </c>
      <c r="Y699" s="8">
        <v>61.651316250000001</v>
      </c>
      <c r="Z699">
        <v>39131700</v>
      </c>
      <c r="AA699" s="8">
        <v>61.651316250000001</v>
      </c>
      <c r="AB699" t="b">
        <f t="shared" si="10"/>
        <v>0</v>
      </c>
    </row>
    <row r="700" spans="1:28" x14ac:dyDescent="0.3">
      <c r="A700">
        <v>897753</v>
      </c>
      <c r="B700" t="s">
        <v>1992</v>
      </c>
      <c r="C700" t="s">
        <v>1993</v>
      </c>
      <c r="D700" t="s">
        <v>1994</v>
      </c>
      <c r="AB700" t="b">
        <f t="shared" si="10"/>
        <v>0</v>
      </c>
    </row>
    <row r="701" spans="1:28" x14ac:dyDescent="0.3">
      <c r="A701">
        <v>897755</v>
      </c>
      <c r="B701" t="s">
        <v>1127</v>
      </c>
      <c r="C701" t="s">
        <v>42</v>
      </c>
      <c r="D701" t="s">
        <v>1128</v>
      </c>
      <c r="O701" t="s">
        <v>45</v>
      </c>
      <c r="P701" t="s">
        <v>42</v>
      </c>
      <c r="Q701" t="s">
        <v>40</v>
      </c>
      <c r="T701" s="8">
        <v>60</v>
      </c>
      <c r="X701">
        <v>39121464</v>
      </c>
      <c r="Y701" s="8">
        <v>53.256520000000002</v>
      </c>
      <c r="Z701">
        <v>39121464</v>
      </c>
      <c r="AA701" s="8">
        <v>53.256520000000002</v>
      </c>
      <c r="AB701" t="b">
        <f t="shared" si="10"/>
        <v>0</v>
      </c>
    </row>
    <row r="702" spans="1:28" x14ac:dyDescent="0.3">
      <c r="A702">
        <v>897756</v>
      </c>
      <c r="B702" t="s">
        <v>1935</v>
      </c>
      <c r="C702" t="s">
        <v>1587</v>
      </c>
      <c r="D702" t="s">
        <v>1936</v>
      </c>
      <c r="E702" t="s">
        <v>1937</v>
      </c>
      <c r="O702" t="s">
        <v>1938</v>
      </c>
      <c r="P702" t="s">
        <v>1939</v>
      </c>
      <c r="Q702" t="s">
        <v>51</v>
      </c>
      <c r="T702" s="8">
        <v>50</v>
      </c>
      <c r="X702">
        <v>39131700</v>
      </c>
      <c r="Y702" s="8">
        <v>48.822096000000002</v>
      </c>
      <c r="Z702">
        <v>39131700</v>
      </c>
      <c r="AA702" s="8">
        <v>48.822096000000002</v>
      </c>
      <c r="AB702" t="b">
        <f t="shared" si="10"/>
        <v>0</v>
      </c>
    </row>
    <row r="703" spans="1:28" x14ac:dyDescent="0.3">
      <c r="A703">
        <v>897757</v>
      </c>
      <c r="B703" t="s">
        <v>1823</v>
      </c>
      <c r="C703" t="s">
        <v>1223</v>
      </c>
      <c r="D703" t="s">
        <v>1824</v>
      </c>
      <c r="E703" t="s">
        <v>1825</v>
      </c>
      <c r="G703">
        <v>337411</v>
      </c>
      <c r="H703" t="s">
        <v>1824</v>
      </c>
      <c r="I703" t="s">
        <v>414</v>
      </c>
      <c r="J703" s="5">
        <v>781810370155</v>
      </c>
      <c r="K703">
        <v>39121432</v>
      </c>
      <c r="L703" t="s">
        <v>1825</v>
      </c>
      <c r="M703">
        <v>254683</v>
      </c>
      <c r="N703" t="s">
        <v>1823</v>
      </c>
      <c r="O703" t="s">
        <v>414</v>
      </c>
      <c r="P703" t="s">
        <v>1223</v>
      </c>
      <c r="Q703" t="s">
        <v>40</v>
      </c>
      <c r="R703" s="8">
        <v>0.99999918027038004</v>
      </c>
      <c r="S703" s="8">
        <v>100</v>
      </c>
      <c r="T703" s="8">
        <v>100</v>
      </c>
      <c r="U703" s="8">
        <v>100</v>
      </c>
      <c r="V703" t="s">
        <v>414</v>
      </c>
      <c r="W703" s="9">
        <v>99.999904999999899</v>
      </c>
      <c r="X703">
        <v>39121432</v>
      </c>
      <c r="Y703" s="8">
        <v>99.999904999999998</v>
      </c>
      <c r="Z703">
        <v>39121432</v>
      </c>
      <c r="AA703" s="8">
        <v>99.999904999999998</v>
      </c>
      <c r="AB703" t="b">
        <f t="shared" si="10"/>
        <v>0</v>
      </c>
    </row>
    <row r="704" spans="1:28" x14ac:dyDescent="0.3">
      <c r="A704">
        <v>897758</v>
      </c>
      <c r="B704" t="s">
        <v>1823</v>
      </c>
      <c r="C704" t="s">
        <v>1223</v>
      </c>
      <c r="D704" t="s">
        <v>1824</v>
      </c>
      <c r="E704" t="s">
        <v>1825</v>
      </c>
      <c r="G704">
        <v>337411</v>
      </c>
      <c r="H704" t="s">
        <v>1824</v>
      </c>
      <c r="I704" t="s">
        <v>414</v>
      </c>
      <c r="J704" s="5">
        <v>781810370155</v>
      </c>
      <c r="K704">
        <v>39121432</v>
      </c>
      <c r="L704" t="s">
        <v>1825</v>
      </c>
      <c r="M704">
        <v>254683</v>
      </c>
      <c r="N704" t="s">
        <v>1823</v>
      </c>
      <c r="O704" t="s">
        <v>414</v>
      </c>
      <c r="P704" t="s">
        <v>1223</v>
      </c>
      <c r="Q704" t="s">
        <v>40</v>
      </c>
      <c r="R704" s="8">
        <v>0.99999918027038004</v>
      </c>
      <c r="S704" s="8">
        <v>100</v>
      </c>
      <c r="T704" s="8">
        <v>100</v>
      </c>
      <c r="U704" s="8">
        <v>100</v>
      </c>
      <c r="V704" t="s">
        <v>414</v>
      </c>
      <c r="W704" s="9">
        <v>99.999904999999899</v>
      </c>
      <c r="X704">
        <v>39121432</v>
      </c>
      <c r="Y704" s="8">
        <v>99.999904999999998</v>
      </c>
      <c r="Z704">
        <v>39121432</v>
      </c>
      <c r="AA704" s="8">
        <v>99.999904999999998</v>
      </c>
      <c r="AB704" t="b">
        <f t="shared" si="10"/>
        <v>0</v>
      </c>
    </row>
    <row r="705" spans="1:28" x14ac:dyDescent="0.3">
      <c r="A705">
        <v>897759</v>
      </c>
      <c r="B705" t="s">
        <v>1995</v>
      </c>
      <c r="C705" t="s">
        <v>1117</v>
      </c>
      <c r="D705" t="s">
        <v>1996</v>
      </c>
      <c r="E705" t="s">
        <v>1997</v>
      </c>
      <c r="G705">
        <v>335834</v>
      </c>
      <c r="H705" t="s">
        <v>1996</v>
      </c>
      <c r="I705" t="s">
        <v>417</v>
      </c>
      <c r="J705" s="6" t="s">
        <v>1998</v>
      </c>
      <c r="K705">
        <v>39131700</v>
      </c>
      <c r="L705" t="s">
        <v>1997</v>
      </c>
      <c r="M705">
        <v>252654</v>
      </c>
      <c r="N705" t="s">
        <v>1999</v>
      </c>
      <c r="O705" t="s">
        <v>417</v>
      </c>
      <c r="Q705" t="s">
        <v>86</v>
      </c>
      <c r="R705" s="9">
        <v>0.96365430775341099</v>
      </c>
      <c r="S705" s="9">
        <v>22.009460829053801</v>
      </c>
      <c r="T705" s="9">
        <v>19.449638829930301</v>
      </c>
      <c r="U705" s="8">
        <v>33.748661638335001</v>
      </c>
      <c r="V705" t="s">
        <v>417</v>
      </c>
      <c r="W705" s="9">
        <v>96.492915999999994</v>
      </c>
      <c r="X705">
        <v>39131700</v>
      </c>
      <c r="Y705" s="9">
        <v>96.492915999999994</v>
      </c>
      <c r="Z705">
        <v>39131700</v>
      </c>
      <c r="AA705" s="8">
        <v>96.492915999999994</v>
      </c>
      <c r="AB705" t="b">
        <f t="shared" si="10"/>
        <v>0</v>
      </c>
    </row>
    <row r="706" spans="1:28" ht="43.2" x14ac:dyDescent="0.3">
      <c r="A706">
        <v>897760</v>
      </c>
      <c r="B706" s="2" t="s">
        <v>2000</v>
      </c>
      <c r="C706" t="s">
        <v>1102</v>
      </c>
      <c r="D706" t="s">
        <v>1471</v>
      </c>
      <c r="E706" t="s">
        <v>1472</v>
      </c>
      <c r="G706">
        <v>337892</v>
      </c>
      <c r="H706" t="s">
        <v>1471</v>
      </c>
      <c r="I706" t="s">
        <v>308</v>
      </c>
      <c r="J706" s="5">
        <v>786189105001</v>
      </c>
      <c r="K706">
        <v>39121321</v>
      </c>
      <c r="L706" t="s">
        <v>1472</v>
      </c>
      <c r="M706">
        <v>256456</v>
      </c>
      <c r="N706" t="s">
        <v>2001</v>
      </c>
      <c r="O706" t="s">
        <v>308</v>
      </c>
      <c r="Q706" t="s">
        <v>86</v>
      </c>
      <c r="R706" s="8">
        <v>0.96311931716056798</v>
      </c>
      <c r="S706" s="8">
        <v>85.655965858028395</v>
      </c>
      <c r="T706" s="8">
        <v>89.655965858028395</v>
      </c>
      <c r="U706" s="8">
        <v>100</v>
      </c>
      <c r="V706" t="s">
        <v>308</v>
      </c>
      <c r="W706" s="9">
        <v>96.443129999999996</v>
      </c>
      <c r="X706">
        <v>39121321</v>
      </c>
      <c r="Y706" s="9">
        <v>96.443129999999996</v>
      </c>
      <c r="Z706">
        <v>39121321</v>
      </c>
      <c r="AA706" s="8">
        <v>96.443129999999996</v>
      </c>
      <c r="AB706" t="b">
        <f t="shared" si="10"/>
        <v>0</v>
      </c>
    </row>
    <row r="707" spans="1:28" x14ac:dyDescent="0.3">
      <c r="A707">
        <v>897761</v>
      </c>
      <c r="B707" t="s">
        <v>2002</v>
      </c>
      <c r="C707" t="s">
        <v>1082</v>
      </c>
      <c r="D707" t="s">
        <v>2003</v>
      </c>
      <c r="E707" t="s">
        <v>2004</v>
      </c>
      <c r="G707">
        <v>339116</v>
      </c>
      <c r="H707" t="s">
        <v>2003</v>
      </c>
      <c r="I707" t="s">
        <v>343</v>
      </c>
      <c r="J707" s="5">
        <v>783510522001</v>
      </c>
      <c r="K707">
        <v>39131710</v>
      </c>
      <c r="L707" t="s">
        <v>2004</v>
      </c>
      <c r="M707">
        <v>259623</v>
      </c>
      <c r="N707" t="s">
        <v>2002</v>
      </c>
      <c r="O707" t="s">
        <v>343</v>
      </c>
      <c r="Q707" t="s">
        <v>86</v>
      </c>
      <c r="R707" s="8">
        <v>0.99999911526501695</v>
      </c>
      <c r="S707" s="9">
        <v>92.499955763250796</v>
      </c>
      <c r="T707" s="9">
        <v>94.499955763250796</v>
      </c>
      <c r="U707" s="8">
        <v>100</v>
      </c>
      <c r="V707" t="s">
        <v>343</v>
      </c>
      <c r="W707" s="9">
        <v>99.999929999999907</v>
      </c>
      <c r="X707">
        <v>39131710</v>
      </c>
      <c r="Y707" s="9">
        <v>99.999929999999907</v>
      </c>
      <c r="Z707">
        <v>39131710</v>
      </c>
      <c r="AA707" s="8">
        <v>99.999930000000006</v>
      </c>
      <c r="AB707" t="b">
        <f t="shared" ref="AB707:AB770" si="11">(AA707-Y707)&lt;-1</f>
        <v>0</v>
      </c>
    </row>
    <row r="708" spans="1:28" x14ac:dyDescent="0.3">
      <c r="A708">
        <v>897762</v>
      </c>
      <c r="B708" t="s">
        <v>2005</v>
      </c>
      <c r="C708" t="s">
        <v>1082</v>
      </c>
      <c r="D708" t="s">
        <v>2006</v>
      </c>
      <c r="E708" t="s">
        <v>2007</v>
      </c>
      <c r="G708">
        <v>339117</v>
      </c>
      <c r="H708" t="s">
        <v>2006</v>
      </c>
      <c r="I708" t="s">
        <v>343</v>
      </c>
      <c r="J708" s="5">
        <v>783510522704</v>
      </c>
      <c r="K708">
        <v>39131711</v>
      </c>
      <c r="L708" t="s">
        <v>2007</v>
      </c>
      <c r="M708">
        <v>259624</v>
      </c>
      <c r="N708" t="s">
        <v>2008</v>
      </c>
      <c r="O708" t="s">
        <v>343</v>
      </c>
      <c r="Q708" t="s">
        <v>86</v>
      </c>
      <c r="R708" s="8">
        <v>0.984640314433324</v>
      </c>
      <c r="S708" s="8">
        <v>96.732015721666201</v>
      </c>
      <c r="T708" s="8">
        <v>96.732015721666201</v>
      </c>
      <c r="U708" s="8">
        <v>100</v>
      </c>
      <c r="V708" t="s">
        <v>343</v>
      </c>
      <c r="W708" s="8">
        <v>98.487269999999995</v>
      </c>
      <c r="X708">
        <v>39131711</v>
      </c>
      <c r="Y708" s="8">
        <v>98.487269999999995</v>
      </c>
      <c r="Z708">
        <v>39131711</v>
      </c>
      <c r="AA708" s="9">
        <v>98.487269999999995</v>
      </c>
      <c r="AB708" t="b">
        <f t="shared" si="11"/>
        <v>0</v>
      </c>
    </row>
    <row r="709" spans="1:28" x14ac:dyDescent="0.3">
      <c r="A709">
        <v>897763</v>
      </c>
      <c r="B709" t="s">
        <v>2009</v>
      </c>
      <c r="C709" t="s">
        <v>42</v>
      </c>
      <c r="D709" t="s">
        <v>2010</v>
      </c>
      <c r="O709" t="s">
        <v>45</v>
      </c>
      <c r="P709" t="s">
        <v>42</v>
      </c>
      <c r="Q709" t="s">
        <v>40</v>
      </c>
      <c r="T709" s="8">
        <v>60</v>
      </c>
      <c r="X709">
        <v>39131700</v>
      </c>
      <c r="Y709" s="8">
        <v>57.759104999999998</v>
      </c>
      <c r="Z709">
        <v>39131700</v>
      </c>
      <c r="AA709" s="8">
        <v>57.759104999999998</v>
      </c>
      <c r="AB709" t="b">
        <f t="shared" si="11"/>
        <v>0</v>
      </c>
    </row>
    <row r="710" spans="1:28" x14ac:dyDescent="0.3">
      <c r="A710">
        <v>897764</v>
      </c>
      <c r="B710" t="s">
        <v>2011</v>
      </c>
      <c r="C710" t="s">
        <v>1082</v>
      </c>
      <c r="D710" t="s">
        <v>2012</v>
      </c>
      <c r="E710" t="s">
        <v>2013</v>
      </c>
      <c r="G710">
        <v>104596</v>
      </c>
      <c r="H710" t="s">
        <v>2012</v>
      </c>
      <c r="I710" t="s">
        <v>343</v>
      </c>
      <c r="J710" s="5">
        <v>783510433604</v>
      </c>
      <c r="K710">
        <v>39121303</v>
      </c>
      <c r="M710">
        <v>42208</v>
      </c>
      <c r="N710" t="s">
        <v>2014</v>
      </c>
      <c r="O710" t="s">
        <v>343</v>
      </c>
      <c r="Q710" t="s">
        <v>86</v>
      </c>
      <c r="R710" s="8">
        <v>0.88649613319891896</v>
      </c>
      <c r="S710" s="8">
        <v>100</v>
      </c>
      <c r="T710" s="8">
        <v>100</v>
      </c>
      <c r="U710" s="8">
        <v>100</v>
      </c>
      <c r="V710" t="s">
        <v>343</v>
      </c>
      <c r="W710" s="9">
        <v>97.491925999999907</v>
      </c>
      <c r="X710">
        <v>39121303</v>
      </c>
      <c r="Y710" s="9">
        <v>97.491925999999907</v>
      </c>
      <c r="Z710">
        <v>39121303</v>
      </c>
      <c r="AA710" s="9">
        <v>97.491925999999907</v>
      </c>
      <c r="AB710" t="b">
        <f t="shared" si="11"/>
        <v>0</v>
      </c>
    </row>
    <row r="711" spans="1:28" x14ac:dyDescent="0.3">
      <c r="A711">
        <v>897765</v>
      </c>
      <c r="B711" t="s">
        <v>1291</v>
      </c>
      <c r="C711" t="s">
        <v>1082</v>
      </c>
      <c r="D711" t="s">
        <v>1292</v>
      </c>
      <c r="E711" t="s">
        <v>1293</v>
      </c>
      <c r="G711">
        <v>337095</v>
      </c>
      <c r="H711" t="s">
        <v>1292</v>
      </c>
      <c r="I711" t="s">
        <v>343</v>
      </c>
      <c r="J711" s="5">
        <v>783510433307</v>
      </c>
      <c r="K711">
        <v>39121303</v>
      </c>
      <c r="L711" t="s">
        <v>1293</v>
      </c>
      <c r="M711">
        <v>259552</v>
      </c>
      <c r="N711" t="s">
        <v>1294</v>
      </c>
      <c r="O711" t="s">
        <v>343</v>
      </c>
      <c r="Q711" t="s">
        <v>86</v>
      </c>
      <c r="R711" s="9">
        <v>0.98630926157158605</v>
      </c>
      <c r="S711" s="8">
        <v>100</v>
      </c>
      <c r="T711" s="8">
        <v>100</v>
      </c>
      <c r="U711" s="8">
        <v>100</v>
      </c>
      <c r="V711" t="s">
        <v>343</v>
      </c>
      <c r="W711" s="9">
        <v>98.6494059999999</v>
      </c>
      <c r="X711">
        <v>39121303</v>
      </c>
      <c r="Y711" s="8">
        <v>98.649405999999999</v>
      </c>
      <c r="Z711">
        <v>39121303</v>
      </c>
      <c r="AA711" s="8">
        <v>98.649405999999999</v>
      </c>
      <c r="AB711" t="b">
        <f t="shared" si="11"/>
        <v>0</v>
      </c>
    </row>
    <row r="712" spans="1:28" x14ac:dyDescent="0.3">
      <c r="A712">
        <v>897766</v>
      </c>
      <c r="B712" t="s">
        <v>2015</v>
      </c>
      <c r="C712" t="s">
        <v>1117</v>
      </c>
      <c r="D712" t="s">
        <v>2016</v>
      </c>
      <c r="E712" t="s">
        <v>2017</v>
      </c>
      <c r="G712">
        <v>336616</v>
      </c>
      <c r="H712" t="s">
        <v>2016</v>
      </c>
      <c r="I712" t="s">
        <v>417</v>
      </c>
      <c r="J712" s="6" t="s">
        <v>2018</v>
      </c>
      <c r="K712">
        <v>39131700</v>
      </c>
      <c r="L712" t="s">
        <v>2017</v>
      </c>
      <c r="M712">
        <v>252630</v>
      </c>
      <c r="N712" t="s">
        <v>2019</v>
      </c>
      <c r="O712" t="s">
        <v>417</v>
      </c>
      <c r="Q712" t="s">
        <v>86</v>
      </c>
      <c r="R712" s="9">
        <v>0.93100263220038504</v>
      </c>
      <c r="S712" s="9">
        <v>94.050131610019207</v>
      </c>
      <c r="T712" s="9">
        <v>94.050131610019207</v>
      </c>
      <c r="U712" s="8">
        <v>100</v>
      </c>
      <c r="V712" t="s">
        <v>417</v>
      </c>
      <c r="W712" s="8">
        <v>93.545609999999996</v>
      </c>
      <c r="X712">
        <v>39131700</v>
      </c>
      <c r="Y712" s="9">
        <v>56.127365999999903</v>
      </c>
      <c r="Z712">
        <v>39131700</v>
      </c>
      <c r="AA712" s="8">
        <v>93.516745</v>
      </c>
      <c r="AB712" t="b">
        <f t="shared" si="11"/>
        <v>0</v>
      </c>
    </row>
    <row r="713" spans="1:28" x14ac:dyDescent="0.3">
      <c r="A713">
        <v>897767</v>
      </c>
      <c r="B713" t="s">
        <v>1277</v>
      </c>
      <c r="C713" t="s">
        <v>42</v>
      </c>
      <c r="D713" t="s">
        <v>1278</v>
      </c>
      <c r="E713" t="s">
        <v>57</v>
      </c>
      <c r="O713" t="s">
        <v>45</v>
      </c>
      <c r="P713" t="s">
        <v>42</v>
      </c>
      <c r="Q713" t="s">
        <v>40</v>
      </c>
      <c r="T713" s="8">
        <v>60</v>
      </c>
      <c r="X713">
        <v>39131700</v>
      </c>
      <c r="Y713" s="9">
        <v>77.476609999999994</v>
      </c>
      <c r="Z713">
        <v>39131700</v>
      </c>
      <c r="AA713" s="9">
        <v>77.476609999999994</v>
      </c>
      <c r="AB713" t="b">
        <f t="shared" si="11"/>
        <v>0</v>
      </c>
    </row>
    <row r="714" spans="1:28" x14ac:dyDescent="0.3">
      <c r="A714">
        <v>897768</v>
      </c>
      <c r="B714" t="s">
        <v>2020</v>
      </c>
      <c r="C714" t="s">
        <v>42</v>
      </c>
      <c r="D714" t="s">
        <v>2021</v>
      </c>
      <c r="O714" t="s">
        <v>45</v>
      </c>
      <c r="P714" t="s">
        <v>42</v>
      </c>
      <c r="Q714" t="s">
        <v>40</v>
      </c>
      <c r="T714" s="8">
        <v>60</v>
      </c>
      <c r="X714">
        <v>39121700</v>
      </c>
      <c r="Y714" s="8">
        <v>47.644100399999999</v>
      </c>
      <c r="Z714">
        <v>39121700</v>
      </c>
      <c r="AA714" s="8">
        <v>47.644100399999999</v>
      </c>
      <c r="AB714" t="b">
        <f t="shared" si="11"/>
        <v>0</v>
      </c>
    </row>
    <row r="715" spans="1:28" x14ac:dyDescent="0.3">
      <c r="A715">
        <v>897769</v>
      </c>
      <c r="B715" t="s">
        <v>2022</v>
      </c>
      <c r="C715" t="s">
        <v>1054</v>
      </c>
      <c r="D715" t="s">
        <v>2023</v>
      </c>
      <c r="E715" t="s">
        <v>2024</v>
      </c>
      <c r="G715">
        <v>337198</v>
      </c>
      <c r="H715" t="s">
        <v>2023</v>
      </c>
      <c r="I715" t="s">
        <v>104</v>
      </c>
      <c r="J715" s="5">
        <v>781011608439</v>
      </c>
      <c r="K715">
        <v>31162906</v>
      </c>
      <c r="L715" t="s">
        <v>2024</v>
      </c>
      <c r="M715">
        <v>253190</v>
      </c>
      <c r="N715" t="s">
        <v>2025</v>
      </c>
      <c r="O715" t="s">
        <v>48</v>
      </c>
      <c r="Q715" t="s">
        <v>75</v>
      </c>
      <c r="R715" s="9">
        <v>0.84095478365672405</v>
      </c>
      <c r="S715" s="9">
        <v>79.547739182836196</v>
      </c>
      <c r="T715" s="9">
        <v>49.547739182836203</v>
      </c>
      <c r="U715" s="9">
        <v>83.190956731344897</v>
      </c>
      <c r="V715" t="s">
        <v>104</v>
      </c>
      <c r="W715" s="9">
        <v>89.555859999999996</v>
      </c>
      <c r="X715">
        <v>31162906</v>
      </c>
      <c r="Y715" s="9">
        <v>89.555859999999996</v>
      </c>
      <c r="Z715">
        <v>31162906</v>
      </c>
      <c r="AA715" s="9">
        <v>89.555859999999996</v>
      </c>
      <c r="AB715" t="b">
        <f t="shared" si="11"/>
        <v>0</v>
      </c>
    </row>
    <row r="716" spans="1:28" x14ac:dyDescent="0.3">
      <c r="A716">
        <v>897770</v>
      </c>
      <c r="B716" t="s">
        <v>2026</v>
      </c>
      <c r="C716" t="s">
        <v>1102</v>
      </c>
      <c r="D716">
        <v>453</v>
      </c>
      <c r="E716" t="s">
        <v>2027</v>
      </c>
      <c r="O716" t="s">
        <v>45</v>
      </c>
      <c r="P716" t="s">
        <v>42</v>
      </c>
      <c r="Q716" t="s">
        <v>40</v>
      </c>
      <c r="T716" s="8">
        <v>60</v>
      </c>
      <c r="V716" t="s">
        <v>308</v>
      </c>
      <c r="W716" s="8">
        <v>87.053543000000005</v>
      </c>
      <c r="X716">
        <v>39121434</v>
      </c>
      <c r="Y716" s="9">
        <v>52.065293999999902</v>
      </c>
      <c r="Z716">
        <v>39121434</v>
      </c>
      <c r="AA716" s="9">
        <v>52.065293999999902</v>
      </c>
      <c r="AB716" t="b">
        <f t="shared" si="11"/>
        <v>0</v>
      </c>
    </row>
    <row r="717" spans="1:28" x14ac:dyDescent="0.3">
      <c r="A717">
        <v>897771</v>
      </c>
      <c r="B717" t="s">
        <v>2028</v>
      </c>
      <c r="C717" t="s">
        <v>1102</v>
      </c>
      <c r="D717">
        <v>934</v>
      </c>
      <c r="E717" t="s">
        <v>2029</v>
      </c>
      <c r="X717">
        <v>39121312</v>
      </c>
      <c r="Y717" s="8">
        <v>80.241550000000004</v>
      </c>
      <c r="Z717">
        <v>39121312</v>
      </c>
      <c r="AA717" s="8">
        <v>80.241550000000004</v>
      </c>
      <c r="AB717" t="b">
        <f t="shared" si="11"/>
        <v>0</v>
      </c>
    </row>
    <row r="718" spans="1:28" x14ac:dyDescent="0.3">
      <c r="A718">
        <v>897772</v>
      </c>
      <c r="B718" t="s">
        <v>2030</v>
      </c>
      <c r="C718" t="s">
        <v>1102</v>
      </c>
      <c r="D718">
        <v>463</v>
      </c>
      <c r="E718" t="s">
        <v>2031</v>
      </c>
      <c r="O718" t="s">
        <v>45</v>
      </c>
      <c r="P718" t="s">
        <v>42</v>
      </c>
      <c r="Q718" t="s">
        <v>40</v>
      </c>
      <c r="T718" s="8">
        <v>60</v>
      </c>
      <c r="V718" t="s">
        <v>308</v>
      </c>
      <c r="W718" s="8">
        <v>86.892920000000004</v>
      </c>
      <c r="X718">
        <v>39131707</v>
      </c>
      <c r="Y718" s="8">
        <v>84.736620000000002</v>
      </c>
      <c r="Z718">
        <v>39131707</v>
      </c>
      <c r="AA718" s="8">
        <v>84.736620000000002</v>
      </c>
      <c r="AB718" t="b">
        <f t="shared" si="11"/>
        <v>0</v>
      </c>
    </row>
    <row r="719" spans="1:28" x14ac:dyDescent="0.3">
      <c r="A719">
        <v>897773</v>
      </c>
      <c r="B719" t="s">
        <v>2032</v>
      </c>
      <c r="C719" t="s">
        <v>1102</v>
      </c>
      <c r="D719">
        <v>203</v>
      </c>
      <c r="E719" t="s">
        <v>2033</v>
      </c>
      <c r="O719" t="s">
        <v>45</v>
      </c>
      <c r="P719" t="s">
        <v>42</v>
      </c>
      <c r="Q719" t="s">
        <v>40</v>
      </c>
      <c r="T719" s="8">
        <v>60</v>
      </c>
      <c r="X719">
        <v>39131700</v>
      </c>
      <c r="Y719" s="8">
        <v>50.189729999999997</v>
      </c>
      <c r="Z719">
        <v>39131700</v>
      </c>
      <c r="AA719" s="8">
        <v>50.189729999999997</v>
      </c>
      <c r="AB719" t="b">
        <f t="shared" si="11"/>
        <v>0</v>
      </c>
    </row>
    <row r="720" spans="1:28" x14ac:dyDescent="0.3">
      <c r="A720">
        <v>897774</v>
      </c>
      <c r="B720" t="s">
        <v>2034</v>
      </c>
      <c r="C720" t="s">
        <v>1104</v>
      </c>
      <c r="D720" t="s">
        <v>2035</v>
      </c>
      <c r="E720" t="s">
        <v>2036</v>
      </c>
      <c r="G720">
        <v>338545</v>
      </c>
      <c r="H720" t="s">
        <v>2037</v>
      </c>
      <c r="I720" t="s">
        <v>321</v>
      </c>
      <c r="J720" s="5">
        <v>781002175056</v>
      </c>
      <c r="K720">
        <v>31161528</v>
      </c>
      <c r="L720" t="s">
        <v>2036</v>
      </c>
      <c r="M720">
        <v>258078</v>
      </c>
      <c r="N720" t="s">
        <v>2038</v>
      </c>
      <c r="O720" t="s">
        <v>321</v>
      </c>
      <c r="Q720" t="s">
        <v>86</v>
      </c>
      <c r="R720" s="9">
        <v>0.98575728595282397</v>
      </c>
      <c r="S720" s="8">
        <v>100</v>
      </c>
      <c r="T720" s="8">
        <v>100</v>
      </c>
      <c r="U720" s="8">
        <v>100</v>
      </c>
      <c r="V720" t="s">
        <v>321</v>
      </c>
      <c r="W720" s="8">
        <v>98.595740000000006</v>
      </c>
      <c r="X720">
        <v>31161528</v>
      </c>
      <c r="Y720" s="8">
        <v>98.595740000000006</v>
      </c>
      <c r="Z720">
        <v>31161528</v>
      </c>
      <c r="AA720" s="9">
        <v>98.595739999999907</v>
      </c>
      <c r="AB720" t="b">
        <f t="shared" si="11"/>
        <v>0</v>
      </c>
    </row>
    <row r="721" spans="1:28" x14ac:dyDescent="0.3">
      <c r="A721">
        <v>897775</v>
      </c>
      <c r="B721" t="s">
        <v>1969</v>
      </c>
      <c r="C721" t="s">
        <v>1102</v>
      </c>
      <c r="D721">
        <v>461</v>
      </c>
      <c r="E721" t="s">
        <v>1970</v>
      </c>
      <c r="O721" t="s">
        <v>45</v>
      </c>
      <c r="P721" t="s">
        <v>42</v>
      </c>
      <c r="Q721" t="s">
        <v>40</v>
      </c>
      <c r="T721" s="8">
        <v>60</v>
      </c>
      <c r="V721" t="s">
        <v>308</v>
      </c>
      <c r="W721" s="9">
        <v>86.760633999999996</v>
      </c>
      <c r="X721">
        <v>39131700</v>
      </c>
      <c r="Y721" s="8">
        <v>86.760633999999996</v>
      </c>
      <c r="Z721">
        <v>39131700</v>
      </c>
      <c r="AA721" s="8">
        <v>86.760633999999996</v>
      </c>
      <c r="AB721" t="b">
        <f t="shared" si="11"/>
        <v>0</v>
      </c>
    </row>
    <row r="722" spans="1:28" x14ac:dyDescent="0.3">
      <c r="A722">
        <v>897776</v>
      </c>
      <c r="B722" t="s">
        <v>2039</v>
      </c>
      <c r="C722" t="s">
        <v>1163</v>
      </c>
      <c r="D722" t="s">
        <v>2040</v>
      </c>
      <c r="E722" t="s">
        <v>2041</v>
      </c>
      <c r="X722">
        <v>39131700</v>
      </c>
      <c r="Y722" s="9">
        <v>76.348619999999997</v>
      </c>
      <c r="Z722">
        <v>39131700</v>
      </c>
      <c r="AA722" s="9">
        <v>76.348619999999997</v>
      </c>
      <c r="AB722" t="b">
        <f t="shared" si="11"/>
        <v>0</v>
      </c>
    </row>
    <row r="723" spans="1:28" x14ac:dyDescent="0.3">
      <c r="A723">
        <v>897777</v>
      </c>
      <c r="B723" t="s">
        <v>1101</v>
      </c>
      <c r="C723" t="s">
        <v>1102</v>
      </c>
      <c r="D723">
        <v>451</v>
      </c>
      <c r="E723" t="s">
        <v>307</v>
      </c>
      <c r="O723" t="s">
        <v>45</v>
      </c>
      <c r="P723" t="s">
        <v>42</v>
      </c>
      <c r="Q723" t="s">
        <v>40</v>
      </c>
      <c r="T723" s="8">
        <v>60</v>
      </c>
      <c r="V723" t="s">
        <v>308</v>
      </c>
      <c r="W723" s="8">
        <v>89.067769999999996</v>
      </c>
      <c r="X723">
        <v>39121434</v>
      </c>
      <c r="Y723" s="9">
        <v>53.440661999999897</v>
      </c>
      <c r="Z723">
        <v>39121434</v>
      </c>
      <c r="AA723" s="9">
        <v>53.440661999999897</v>
      </c>
      <c r="AB723" t="b">
        <f t="shared" si="11"/>
        <v>0</v>
      </c>
    </row>
    <row r="724" spans="1:28" x14ac:dyDescent="0.3">
      <c r="A724">
        <v>897778</v>
      </c>
      <c r="B724" t="s">
        <v>2042</v>
      </c>
      <c r="C724" t="s">
        <v>1163</v>
      </c>
      <c r="E724" t="s">
        <v>2043</v>
      </c>
      <c r="AB724" t="b">
        <f t="shared" si="11"/>
        <v>0</v>
      </c>
    </row>
    <row r="725" spans="1:28" x14ac:dyDescent="0.3">
      <c r="A725">
        <v>897779</v>
      </c>
      <c r="B725" t="s">
        <v>1214</v>
      </c>
      <c r="C725" t="s">
        <v>1117</v>
      </c>
      <c r="D725" t="s">
        <v>1215</v>
      </c>
      <c r="E725" t="s">
        <v>1216</v>
      </c>
      <c r="V725" t="s">
        <v>417</v>
      </c>
      <c r="W725" s="9">
        <v>86.971896999999899</v>
      </c>
      <c r="X725">
        <v>31162500</v>
      </c>
      <c r="Y725" s="8">
        <v>69.577517599999993</v>
      </c>
      <c r="Z725">
        <v>31162500</v>
      </c>
      <c r="AA725" s="8">
        <v>69.577517599999993</v>
      </c>
      <c r="AB725" t="b">
        <f t="shared" si="11"/>
        <v>0</v>
      </c>
    </row>
    <row r="726" spans="1:28" x14ac:dyDescent="0.3">
      <c r="A726">
        <v>897780</v>
      </c>
      <c r="B726" t="s">
        <v>2044</v>
      </c>
      <c r="C726" t="s">
        <v>1163</v>
      </c>
      <c r="D726">
        <v>3211</v>
      </c>
      <c r="E726" t="s">
        <v>2045</v>
      </c>
      <c r="X726">
        <v>39120000</v>
      </c>
      <c r="Y726" s="8">
        <v>60.526831999999999</v>
      </c>
      <c r="Z726">
        <v>39120000</v>
      </c>
      <c r="AA726" s="8">
        <v>60.526831999999999</v>
      </c>
      <c r="AB726" t="b">
        <f t="shared" si="11"/>
        <v>0</v>
      </c>
    </row>
    <row r="727" spans="1:28" x14ac:dyDescent="0.3">
      <c r="A727">
        <v>897781</v>
      </c>
      <c r="B727" t="s">
        <v>1206</v>
      </c>
      <c r="C727" t="s">
        <v>1117</v>
      </c>
      <c r="D727" t="s">
        <v>1207</v>
      </c>
      <c r="E727" t="s">
        <v>1208</v>
      </c>
      <c r="G727">
        <v>335828</v>
      </c>
      <c r="H727" t="s">
        <v>1207</v>
      </c>
      <c r="I727" t="s">
        <v>417</v>
      </c>
      <c r="J727" s="6" t="s">
        <v>1209</v>
      </c>
      <c r="K727">
        <v>39131700</v>
      </c>
      <c r="L727" t="s">
        <v>1208</v>
      </c>
      <c r="M727">
        <v>252647</v>
      </c>
      <c r="N727" t="s">
        <v>1210</v>
      </c>
      <c r="O727" t="s">
        <v>417</v>
      </c>
      <c r="Q727" t="s">
        <v>86</v>
      </c>
      <c r="R727" s="8">
        <v>0.95783554491036704</v>
      </c>
      <c r="S727" s="9">
        <v>18.8064692303189</v>
      </c>
      <c r="T727" s="9">
        <v>17.374743862758798</v>
      </c>
      <c r="U727" s="9">
        <v>31.222035470051999</v>
      </c>
      <c r="V727" t="s">
        <v>417</v>
      </c>
      <c r="W727" s="8">
        <v>95.954139999999995</v>
      </c>
      <c r="X727">
        <v>39131700</v>
      </c>
      <c r="Y727" s="8">
        <v>95.954139999999995</v>
      </c>
      <c r="Z727">
        <v>39131700</v>
      </c>
      <c r="AA727" s="8">
        <v>95.954139999999995</v>
      </c>
      <c r="AB727" t="b">
        <f t="shared" si="11"/>
        <v>0</v>
      </c>
    </row>
    <row r="728" spans="1:28" x14ac:dyDescent="0.3">
      <c r="A728">
        <v>897782</v>
      </c>
      <c r="B728" t="s">
        <v>2046</v>
      </c>
      <c r="C728" t="s">
        <v>1117</v>
      </c>
      <c r="D728" t="s">
        <v>2047</v>
      </c>
      <c r="E728" t="s">
        <v>2048</v>
      </c>
      <c r="G728">
        <v>335835</v>
      </c>
      <c r="H728" t="s">
        <v>2047</v>
      </c>
      <c r="I728" t="s">
        <v>417</v>
      </c>
      <c r="J728" s="6" t="s">
        <v>2049</v>
      </c>
      <c r="K728">
        <v>39131700</v>
      </c>
      <c r="L728" t="s">
        <v>2048</v>
      </c>
      <c r="M728">
        <v>252656</v>
      </c>
      <c r="N728" t="s">
        <v>2050</v>
      </c>
      <c r="O728" t="s">
        <v>417</v>
      </c>
      <c r="Q728" t="s">
        <v>86</v>
      </c>
      <c r="R728" s="9">
        <v>0.96252462468151101</v>
      </c>
      <c r="S728" s="8">
        <v>21.316026036852101</v>
      </c>
      <c r="T728" s="9">
        <v>18.726747626851601</v>
      </c>
      <c r="U728" s="9">
        <v>30.577083936256301</v>
      </c>
      <c r="V728" t="s">
        <v>417</v>
      </c>
      <c r="W728" s="8">
        <v>96.387833000000001</v>
      </c>
      <c r="X728">
        <v>39131700</v>
      </c>
      <c r="Y728" s="8">
        <v>96.387833000000001</v>
      </c>
      <c r="Z728">
        <v>39131700</v>
      </c>
      <c r="AA728" s="8">
        <v>96.387833000000001</v>
      </c>
      <c r="AB728" t="b">
        <f t="shared" si="11"/>
        <v>0</v>
      </c>
    </row>
    <row r="729" spans="1:28" x14ac:dyDescent="0.3">
      <c r="A729">
        <v>897783</v>
      </c>
      <c r="B729" t="s">
        <v>2051</v>
      </c>
      <c r="C729" t="s">
        <v>1117</v>
      </c>
      <c r="D729" t="s">
        <v>2052</v>
      </c>
      <c r="E729" t="s">
        <v>2053</v>
      </c>
      <c r="V729" t="s">
        <v>417</v>
      </c>
      <c r="W729" s="8">
        <v>86.827843999999999</v>
      </c>
      <c r="X729">
        <v>31162500</v>
      </c>
      <c r="Y729" s="9">
        <v>52.096706399999903</v>
      </c>
      <c r="Z729">
        <v>31162500</v>
      </c>
      <c r="AA729" s="9">
        <v>52.096706399999903</v>
      </c>
      <c r="AB729" t="b">
        <f t="shared" si="11"/>
        <v>0</v>
      </c>
    </row>
    <row r="730" spans="1:28" x14ac:dyDescent="0.3">
      <c r="A730">
        <v>897784</v>
      </c>
      <c r="B730" t="s">
        <v>2054</v>
      </c>
      <c r="C730" t="s">
        <v>1102</v>
      </c>
      <c r="D730" t="s">
        <v>740</v>
      </c>
      <c r="E730" t="s">
        <v>757</v>
      </c>
      <c r="G730">
        <v>337871</v>
      </c>
      <c r="H730" t="s">
        <v>740</v>
      </c>
      <c r="I730" t="s">
        <v>308</v>
      </c>
      <c r="J730" s="5">
        <v>786189104288</v>
      </c>
      <c r="K730">
        <v>39121320</v>
      </c>
      <c r="L730" t="s">
        <v>741</v>
      </c>
      <c r="M730">
        <v>256430</v>
      </c>
      <c r="N730" t="s">
        <v>2055</v>
      </c>
      <c r="O730" t="s">
        <v>308</v>
      </c>
      <c r="Q730" t="s">
        <v>86</v>
      </c>
      <c r="R730" s="9">
        <v>0.91884824889306904</v>
      </c>
      <c r="S730" s="9">
        <v>83.442412444653399</v>
      </c>
      <c r="T730" s="9">
        <v>87.442412444653399</v>
      </c>
      <c r="U730" s="8">
        <v>100</v>
      </c>
      <c r="V730" t="s">
        <v>308</v>
      </c>
      <c r="W730" s="9">
        <v>92.493959999999902</v>
      </c>
      <c r="X730">
        <v>39121320</v>
      </c>
      <c r="Y730" s="9">
        <v>92.493959999999902</v>
      </c>
      <c r="Z730">
        <v>39121320</v>
      </c>
      <c r="AA730" s="8">
        <v>91.692023000000006</v>
      </c>
      <c r="AB730" t="b">
        <f t="shared" si="11"/>
        <v>0</v>
      </c>
    </row>
    <row r="731" spans="1:28" x14ac:dyDescent="0.3">
      <c r="A731">
        <v>897785</v>
      </c>
      <c r="B731" t="s">
        <v>1458</v>
      </c>
      <c r="C731" t="s">
        <v>42</v>
      </c>
      <c r="D731" t="s">
        <v>1459</v>
      </c>
      <c r="O731" t="s">
        <v>45</v>
      </c>
      <c r="P731" t="s">
        <v>42</v>
      </c>
      <c r="Q731" t="s">
        <v>40</v>
      </c>
      <c r="T731" s="8">
        <v>60</v>
      </c>
      <c r="X731">
        <v>39131700</v>
      </c>
      <c r="Y731" s="8">
        <v>47.802509999999998</v>
      </c>
      <c r="Z731">
        <v>39131700</v>
      </c>
      <c r="AA731" s="8">
        <v>47.802509999999998</v>
      </c>
      <c r="AB731" t="b">
        <f t="shared" si="11"/>
        <v>0</v>
      </c>
    </row>
    <row r="732" spans="1:28" x14ac:dyDescent="0.3">
      <c r="A732">
        <v>897786</v>
      </c>
      <c r="B732" t="s">
        <v>2056</v>
      </c>
      <c r="C732" t="s">
        <v>1104</v>
      </c>
      <c r="D732" t="s">
        <v>2057</v>
      </c>
      <c r="E732" t="s">
        <v>2058</v>
      </c>
      <c r="G732">
        <v>338458</v>
      </c>
      <c r="H732" t="s">
        <v>2057</v>
      </c>
      <c r="I732" t="s">
        <v>321</v>
      </c>
      <c r="J732" s="5">
        <v>781002161028</v>
      </c>
      <c r="K732">
        <v>39121613</v>
      </c>
      <c r="L732" t="s">
        <v>2058</v>
      </c>
      <c r="M732">
        <v>257971</v>
      </c>
      <c r="N732" t="s">
        <v>2056</v>
      </c>
      <c r="O732" t="s">
        <v>321</v>
      </c>
      <c r="Q732" t="s">
        <v>86</v>
      </c>
      <c r="R732" s="9">
        <v>0.99999910159649996</v>
      </c>
      <c r="S732" s="9">
        <v>92.499955079825</v>
      </c>
      <c r="T732" s="9">
        <v>94.499955079825</v>
      </c>
      <c r="U732" s="8">
        <v>100</v>
      </c>
      <c r="V732" t="s">
        <v>321</v>
      </c>
      <c r="W732" s="9">
        <v>99.999916999999996</v>
      </c>
      <c r="X732">
        <v>39121613</v>
      </c>
      <c r="Y732" s="9">
        <v>99.999916999999996</v>
      </c>
      <c r="Z732">
        <v>39121613</v>
      </c>
      <c r="AA732" s="9">
        <v>99.999916999999996</v>
      </c>
      <c r="AB732" t="b">
        <f t="shared" si="11"/>
        <v>0</v>
      </c>
    </row>
    <row r="733" spans="1:28" x14ac:dyDescent="0.3">
      <c r="A733">
        <v>897787</v>
      </c>
      <c r="B733" t="s">
        <v>2059</v>
      </c>
      <c r="C733" t="s">
        <v>1113</v>
      </c>
      <c r="D733" t="s">
        <v>2060</v>
      </c>
      <c r="E733" t="s">
        <v>2061</v>
      </c>
      <c r="X733">
        <v>39131717</v>
      </c>
      <c r="Y733" s="9">
        <v>57.268608749999899</v>
      </c>
      <c r="Z733">
        <v>39131717</v>
      </c>
      <c r="AA733" s="9">
        <v>57.268608749999899</v>
      </c>
      <c r="AB733" t="b">
        <f t="shared" si="11"/>
        <v>0</v>
      </c>
    </row>
    <row r="734" spans="1:28" x14ac:dyDescent="0.3">
      <c r="A734">
        <v>897788</v>
      </c>
      <c r="B734" t="s">
        <v>2062</v>
      </c>
      <c r="C734" t="s">
        <v>1102</v>
      </c>
      <c r="D734">
        <v>413</v>
      </c>
      <c r="E734" t="s">
        <v>2063</v>
      </c>
      <c r="V734" t="s">
        <v>308</v>
      </c>
      <c r="W734" s="8">
        <v>89.172870000000003</v>
      </c>
      <c r="X734">
        <v>39131700</v>
      </c>
      <c r="Y734" s="8">
        <v>71.338296</v>
      </c>
      <c r="Z734">
        <v>39131700</v>
      </c>
      <c r="AA734" s="8">
        <v>71.338296</v>
      </c>
      <c r="AB734" t="b">
        <f t="shared" si="11"/>
        <v>0</v>
      </c>
    </row>
    <row r="735" spans="1:28" x14ac:dyDescent="0.3">
      <c r="A735">
        <v>897789</v>
      </c>
      <c r="B735" t="s">
        <v>2064</v>
      </c>
      <c r="C735" t="s">
        <v>2065</v>
      </c>
      <c r="D735" t="s">
        <v>2066</v>
      </c>
      <c r="E735" t="s">
        <v>2067</v>
      </c>
      <c r="X735">
        <v>39131706</v>
      </c>
      <c r="Y735" s="8">
        <v>78.494630000000001</v>
      </c>
      <c r="Z735">
        <v>39131706</v>
      </c>
      <c r="AA735" s="8">
        <v>78.494630000000001</v>
      </c>
      <c r="AB735" t="b">
        <f t="shared" si="11"/>
        <v>0</v>
      </c>
    </row>
    <row r="736" spans="1:28" ht="57.6" x14ac:dyDescent="0.3">
      <c r="A736">
        <v>897790</v>
      </c>
      <c r="B736" s="2" t="s">
        <v>2068</v>
      </c>
      <c r="C736" t="s">
        <v>1102</v>
      </c>
      <c r="D736" t="s">
        <v>2069</v>
      </c>
      <c r="E736" t="s">
        <v>2070</v>
      </c>
      <c r="X736">
        <v>39120000</v>
      </c>
      <c r="Y736" s="8">
        <v>47.964913799999998</v>
      </c>
      <c r="Z736">
        <v>39120000</v>
      </c>
      <c r="AA736" s="9">
        <v>47.962655999999903</v>
      </c>
      <c r="AB736" t="b">
        <f t="shared" si="11"/>
        <v>0</v>
      </c>
    </row>
    <row r="737" spans="1:28" ht="57.6" x14ac:dyDescent="0.3">
      <c r="A737">
        <v>897791</v>
      </c>
      <c r="B737" s="2" t="s">
        <v>1304</v>
      </c>
      <c r="C737" t="s">
        <v>1054</v>
      </c>
      <c r="D737" t="s">
        <v>289</v>
      </c>
      <c r="E737" t="s">
        <v>103</v>
      </c>
      <c r="G737">
        <v>335696</v>
      </c>
      <c r="H737" t="s">
        <v>290</v>
      </c>
      <c r="I737" t="s">
        <v>104</v>
      </c>
      <c r="J737" s="5">
        <v>781011213305</v>
      </c>
      <c r="K737">
        <v>30101804</v>
      </c>
      <c r="L737" t="s">
        <v>103</v>
      </c>
      <c r="M737">
        <v>253277</v>
      </c>
      <c r="N737" t="s">
        <v>1056</v>
      </c>
      <c r="O737" t="s">
        <v>48</v>
      </c>
      <c r="Q737" t="s">
        <v>86</v>
      </c>
      <c r="R737" s="9">
        <v>0.90659398642490596</v>
      </c>
      <c r="S737" s="8">
        <v>100</v>
      </c>
      <c r="T737" s="8">
        <v>100</v>
      </c>
      <c r="U737" s="8">
        <v>100</v>
      </c>
      <c r="V737" t="s">
        <v>104</v>
      </c>
      <c r="W737" s="8">
        <v>91.457329999999999</v>
      </c>
      <c r="X737">
        <v>30101804</v>
      </c>
      <c r="Y737" s="8">
        <v>91.457329999999999</v>
      </c>
      <c r="Z737">
        <v>30101804</v>
      </c>
      <c r="AA737" s="8">
        <v>91.267245000000003</v>
      </c>
      <c r="AB737" t="b">
        <f t="shared" si="11"/>
        <v>0</v>
      </c>
    </row>
    <row r="738" spans="1:28" x14ac:dyDescent="0.3">
      <c r="A738">
        <v>897792</v>
      </c>
      <c r="B738" t="s">
        <v>2071</v>
      </c>
      <c r="C738" t="s">
        <v>1104</v>
      </c>
      <c r="D738" t="s">
        <v>2072</v>
      </c>
      <c r="E738" t="s">
        <v>2073</v>
      </c>
      <c r="G738">
        <v>335718</v>
      </c>
      <c r="H738" t="s">
        <v>2072</v>
      </c>
      <c r="I738" t="s">
        <v>321</v>
      </c>
      <c r="J738" s="5">
        <v>781002558002</v>
      </c>
      <c r="K738">
        <v>31161504</v>
      </c>
      <c r="L738" t="s">
        <v>2073</v>
      </c>
      <c r="M738">
        <v>258042</v>
      </c>
      <c r="N738" t="s">
        <v>2071</v>
      </c>
      <c r="O738" t="s">
        <v>321</v>
      </c>
      <c r="Q738" t="s">
        <v>86</v>
      </c>
      <c r="R738" s="9">
        <v>0.99999902256986495</v>
      </c>
      <c r="S738" s="9">
        <v>97.499951128493194</v>
      </c>
      <c r="T738" s="9">
        <v>97.499951128493194</v>
      </c>
      <c r="U738" s="8">
        <v>100</v>
      </c>
      <c r="V738" t="s">
        <v>321</v>
      </c>
      <c r="W738" s="9">
        <v>99.999929999999907</v>
      </c>
      <c r="X738">
        <v>31161504</v>
      </c>
      <c r="Y738" s="9">
        <v>99.999929999999907</v>
      </c>
      <c r="Z738">
        <v>31161504</v>
      </c>
      <c r="AA738" s="8">
        <v>99.999930000000006</v>
      </c>
      <c r="AB738" t="b">
        <f t="shared" si="11"/>
        <v>0</v>
      </c>
    </row>
    <row r="739" spans="1:28" x14ac:dyDescent="0.3">
      <c r="A739">
        <v>897793</v>
      </c>
      <c r="B739" t="s">
        <v>2074</v>
      </c>
      <c r="C739" t="s">
        <v>1102</v>
      </c>
      <c r="D739" t="s">
        <v>2075</v>
      </c>
      <c r="E739" t="s">
        <v>2076</v>
      </c>
      <c r="V739" t="s">
        <v>308</v>
      </c>
      <c r="W739" s="8">
        <v>89.162976</v>
      </c>
      <c r="X739">
        <v>39131708</v>
      </c>
      <c r="Y739" s="8">
        <v>89.162976</v>
      </c>
      <c r="Z739">
        <v>39131708</v>
      </c>
      <c r="AA739" s="8">
        <v>89.162976</v>
      </c>
      <c r="AB739" t="b">
        <f t="shared" si="11"/>
        <v>0</v>
      </c>
    </row>
    <row r="740" spans="1:28" x14ac:dyDescent="0.3">
      <c r="A740">
        <v>897794</v>
      </c>
      <c r="B740" t="s">
        <v>2077</v>
      </c>
      <c r="C740" t="s">
        <v>1102</v>
      </c>
      <c r="D740">
        <v>250</v>
      </c>
      <c r="E740" t="s">
        <v>2078</v>
      </c>
      <c r="X740">
        <v>39131700</v>
      </c>
      <c r="Y740" s="9">
        <v>61.377757499999902</v>
      </c>
      <c r="Z740">
        <v>39131700</v>
      </c>
      <c r="AA740" s="9">
        <v>61.377757499999902</v>
      </c>
      <c r="AB740" t="b">
        <f t="shared" si="11"/>
        <v>0</v>
      </c>
    </row>
    <row r="741" spans="1:28" x14ac:dyDescent="0.3">
      <c r="A741">
        <v>897795</v>
      </c>
      <c r="B741" t="s">
        <v>2079</v>
      </c>
      <c r="C741" t="s">
        <v>1102</v>
      </c>
      <c r="D741" t="s">
        <v>2080</v>
      </c>
      <c r="V741" t="s">
        <v>308</v>
      </c>
      <c r="W741" s="8">
        <v>94.669179999999997</v>
      </c>
      <c r="X741">
        <v>39131708</v>
      </c>
      <c r="Y741" s="8">
        <v>94.669179999999997</v>
      </c>
      <c r="Z741">
        <v>39131708</v>
      </c>
      <c r="AA741" s="9">
        <v>93.5713819999999</v>
      </c>
      <c r="AB741" t="b">
        <f t="shared" si="11"/>
        <v>1</v>
      </c>
    </row>
    <row r="742" spans="1:28" x14ac:dyDescent="0.3">
      <c r="A742">
        <v>897796</v>
      </c>
      <c r="B742" t="s">
        <v>2081</v>
      </c>
      <c r="C742" t="s">
        <v>1102</v>
      </c>
      <c r="D742">
        <v>350</v>
      </c>
      <c r="E742" t="s">
        <v>2082</v>
      </c>
      <c r="V742" t="s">
        <v>308</v>
      </c>
      <c r="W742" s="8">
        <v>68.448972800000007</v>
      </c>
      <c r="X742">
        <v>39131708</v>
      </c>
      <c r="Y742" s="8">
        <v>80.107563999999996</v>
      </c>
      <c r="Z742">
        <v>39131708</v>
      </c>
      <c r="AA742" s="8">
        <v>80.107563999999996</v>
      </c>
      <c r="AB742" t="b">
        <f t="shared" si="11"/>
        <v>0</v>
      </c>
    </row>
    <row r="743" spans="1:28" x14ac:dyDescent="0.3">
      <c r="A743">
        <v>897797</v>
      </c>
      <c r="B743" t="s">
        <v>1277</v>
      </c>
      <c r="C743" t="s">
        <v>42</v>
      </c>
      <c r="D743" t="s">
        <v>1278</v>
      </c>
      <c r="O743" t="s">
        <v>45</v>
      </c>
      <c r="P743" t="s">
        <v>42</v>
      </c>
      <c r="Q743" t="s">
        <v>40</v>
      </c>
      <c r="T743" s="8">
        <v>60</v>
      </c>
      <c r="X743">
        <v>39131700</v>
      </c>
      <c r="Y743" s="9">
        <v>77.476609999999994</v>
      </c>
      <c r="Z743">
        <v>39131700</v>
      </c>
      <c r="AA743" s="9">
        <v>77.476609999999994</v>
      </c>
      <c r="AB743" t="b">
        <f t="shared" si="11"/>
        <v>0</v>
      </c>
    </row>
    <row r="744" spans="1:28" x14ac:dyDescent="0.3">
      <c r="A744">
        <v>897798</v>
      </c>
      <c r="B744" t="s">
        <v>1927</v>
      </c>
      <c r="C744" t="s">
        <v>1102</v>
      </c>
      <c r="D744">
        <v>462</v>
      </c>
      <c r="E744" t="s">
        <v>1299</v>
      </c>
      <c r="O744" t="s">
        <v>45</v>
      </c>
      <c r="P744" t="s">
        <v>42</v>
      </c>
      <c r="Q744" t="s">
        <v>40</v>
      </c>
      <c r="T744" s="8">
        <v>60</v>
      </c>
      <c r="V744" t="s">
        <v>308</v>
      </c>
      <c r="W744" s="9">
        <v>86.442629999999994</v>
      </c>
      <c r="X744">
        <v>39131700</v>
      </c>
      <c r="Y744" s="9">
        <v>85.760089999999906</v>
      </c>
      <c r="Z744">
        <v>39131700</v>
      </c>
      <c r="AA744" s="9">
        <v>85.760089999999906</v>
      </c>
      <c r="AB744" t="b">
        <f t="shared" si="11"/>
        <v>0</v>
      </c>
    </row>
    <row r="745" spans="1:28" x14ac:dyDescent="0.3">
      <c r="A745">
        <v>897799</v>
      </c>
      <c r="B745" t="s">
        <v>2083</v>
      </c>
      <c r="C745" t="s">
        <v>1102</v>
      </c>
      <c r="D745">
        <v>202</v>
      </c>
      <c r="E745" t="s">
        <v>1328</v>
      </c>
      <c r="O745" t="s">
        <v>45</v>
      </c>
      <c r="P745" t="s">
        <v>42</v>
      </c>
      <c r="Q745" t="s">
        <v>40</v>
      </c>
      <c r="T745" s="8">
        <v>60</v>
      </c>
      <c r="X745">
        <v>39131700</v>
      </c>
      <c r="Y745" s="8">
        <v>79.907889999999995</v>
      </c>
      <c r="Z745">
        <v>39131700</v>
      </c>
      <c r="AA745" s="8">
        <v>79.907889999999995</v>
      </c>
      <c r="AB745" t="b">
        <f t="shared" si="11"/>
        <v>0</v>
      </c>
    </row>
    <row r="746" spans="1:28" x14ac:dyDescent="0.3">
      <c r="A746">
        <v>897800</v>
      </c>
      <c r="B746" t="s">
        <v>2084</v>
      </c>
      <c r="C746" t="s">
        <v>1102</v>
      </c>
      <c r="D746">
        <v>932</v>
      </c>
      <c r="E746" t="s">
        <v>2085</v>
      </c>
      <c r="X746">
        <v>39121312</v>
      </c>
      <c r="Y746" s="9">
        <v>79.905459999999906</v>
      </c>
      <c r="Z746">
        <v>39121312</v>
      </c>
      <c r="AA746" s="9">
        <v>79.905459999999906</v>
      </c>
      <c r="AB746" t="b">
        <f t="shared" si="11"/>
        <v>0</v>
      </c>
    </row>
    <row r="747" spans="1:28" x14ac:dyDescent="0.3">
      <c r="A747">
        <v>897801</v>
      </c>
      <c r="B747" t="s">
        <v>2046</v>
      </c>
      <c r="C747" t="s">
        <v>1117</v>
      </c>
      <c r="D747" t="s">
        <v>2047</v>
      </c>
      <c r="E747" t="s">
        <v>2086</v>
      </c>
      <c r="G747">
        <v>335835</v>
      </c>
      <c r="H747" t="s">
        <v>2047</v>
      </c>
      <c r="I747" t="s">
        <v>417</v>
      </c>
      <c r="J747" s="6" t="s">
        <v>2049</v>
      </c>
      <c r="K747">
        <v>39131700</v>
      </c>
      <c r="L747" t="s">
        <v>2048</v>
      </c>
      <c r="M747">
        <v>252656</v>
      </c>
      <c r="N747" t="s">
        <v>2050</v>
      </c>
      <c r="O747" t="s">
        <v>417</v>
      </c>
      <c r="Q747" t="s">
        <v>86</v>
      </c>
      <c r="R747" s="8">
        <v>0.96287601256549504</v>
      </c>
      <c r="S747" s="9">
        <v>21.285632876869599</v>
      </c>
      <c r="T747" s="9">
        <v>18.694027898960702</v>
      </c>
      <c r="U747" s="9">
        <v>30.414704722211098</v>
      </c>
      <c r="V747" t="s">
        <v>417</v>
      </c>
      <c r="W747" s="8">
        <v>96.420490000000001</v>
      </c>
      <c r="X747">
        <v>39131700</v>
      </c>
      <c r="Y747" s="8">
        <v>96.420490000000001</v>
      </c>
      <c r="Z747">
        <v>39131700</v>
      </c>
      <c r="AA747" s="8">
        <v>96.387833000000001</v>
      </c>
      <c r="AB747" t="b">
        <f t="shared" si="11"/>
        <v>0</v>
      </c>
    </row>
    <row r="748" spans="1:28" x14ac:dyDescent="0.3">
      <c r="A748">
        <v>897802</v>
      </c>
      <c r="B748" t="s">
        <v>1326</v>
      </c>
      <c r="C748" t="s">
        <v>1054</v>
      </c>
      <c r="D748" t="s">
        <v>1327</v>
      </c>
      <c r="E748" t="s">
        <v>2048</v>
      </c>
      <c r="V748" t="s">
        <v>104</v>
      </c>
      <c r="W748" s="9">
        <v>92.725049999999896</v>
      </c>
      <c r="X748">
        <v>39121701</v>
      </c>
      <c r="Y748" s="9">
        <v>92.725049999999896</v>
      </c>
      <c r="Z748">
        <v>39121701</v>
      </c>
      <c r="AA748" s="8">
        <v>92.143973500000001</v>
      </c>
      <c r="AB748" t="b">
        <f t="shared" si="11"/>
        <v>0</v>
      </c>
    </row>
    <row r="749" spans="1:28" x14ac:dyDescent="0.3">
      <c r="A749">
        <v>897803</v>
      </c>
      <c r="B749" t="s">
        <v>1933</v>
      </c>
      <c r="C749" t="s">
        <v>1102</v>
      </c>
      <c r="D749">
        <v>452</v>
      </c>
      <c r="E749" t="s">
        <v>1934</v>
      </c>
      <c r="O749" t="s">
        <v>45</v>
      </c>
      <c r="P749" t="s">
        <v>42</v>
      </c>
      <c r="Q749" t="s">
        <v>40</v>
      </c>
      <c r="T749" s="8">
        <v>60</v>
      </c>
      <c r="V749" t="s">
        <v>308</v>
      </c>
      <c r="W749" s="8">
        <v>85.252489999999995</v>
      </c>
      <c r="X749">
        <v>39121434</v>
      </c>
      <c r="Y749" s="8">
        <v>85.252489999999995</v>
      </c>
      <c r="Z749">
        <v>39121434</v>
      </c>
      <c r="AA749" s="8">
        <v>85.252489999999995</v>
      </c>
      <c r="AB749" t="b">
        <f t="shared" si="11"/>
        <v>0</v>
      </c>
    </row>
    <row r="750" spans="1:28" x14ac:dyDescent="0.3">
      <c r="A750">
        <v>897804</v>
      </c>
      <c r="B750" t="s">
        <v>2087</v>
      </c>
      <c r="C750" t="s">
        <v>1102</v>
      </c>
      <c r="D750" t="s">
        <v>2088</v>
      </c>
      <c r="E750" t="s">
        <v>2089</v>
      </c>
      <c r="G750">
        <v>338037</v>
      </c>
      <c r="H750" t="s">
        <v>2090</v>
      </c>
      <c r="I750" t="s">
        <v>308</v>
      </c>
      <c r="J750" s="5">
        <v>662277001984</v>
      </c>
      <c r="K750">
        <v>39121312</v>
      </c>
      <c r="L750" t="s">
        <v>2089</v>
      </c>
      <c r="M750">
        <v>256337</v>
      </c>
      <c r="N750" t="s">
        <v>2091</v>
      </c>
      <c r="O750" t="s">
        <v>308</v>
      </c>
      <c r="Q750" t="s">
        <v>86</v>
      </c>
      <c r="R750" s="9">
        <v>0.98064405689503698</v>
      </c>
      <c r="S750" s="9">
        <v>32.043850822046899</v>
      </c>
      <c r="T750" s="9">
        <v>98.266101422375897</v>
      </c>
      <c r="U750" s="9">
        <v>46.779942351803797</v>
      </c>
      <c r="V750" t="s">
        <v>308</v>
      </c>
      <c r="W750" s="9">
        <v>98.101159999999993</v>
      </c>
      <c r="X750">
        <v>39121312</v>
      </c>
      <c r="Y750" s="9">
        <v>98.101159999999993</v>
      </c>
      <c r="Z750">
        <v>39121312</v>
      </c>
      <c r="AA750" s="8">
        <v>98.101159999999993</v>
      </c>
      <c r="AB750" t="b">
        <f t="shared" si="11"/>
        <v>0</v>
      </c>
    </row>
    <row r="751" spans="1:28" x14ac:dyDescent="0.3">
      <c r="A751">
        <v>897805</v>
      </c>
      <c r="B751" t="s">
        <v>2087</v>
      </c>
      <c r="C751" t="s">
        <v>1102</v>
      </c>
      <c r="D751" t="s">
        <v>2088</v>
      </c>
      <c r="E751" t="s">
        <v>2089</v>
      </c>
      <c r="G751">
        <v>338037</v>
      </c>
      <c r="H751" t="s">
        <v>2090</v>
      </c>
      <c r="I751" t="s">
        <v>308</v>
      </c>
      <c r="J751" s="5">
        <v>662277001984</v>
      </c>
      <c r="K751">
        <v>39121312</v>
      </c>
      <c r="L751" t="s">
        <v>2089</v>
      </c>
      <c r="M751">
        <v>256337</v>
      </c>
      <c r="N751" t="s">
        <v>2091</v>
      </c>
      <c r="O751" t="s">
        <v>308</v>
      </c>
      <c r="Q751" t="s">
        <v>86</v>
      </c>
      <c r="R751" s="8">
        <v>0.98064576959796002</v>
      </c>
      <c r="S751" s="9">
        <v>32.0438883326987</v>
      </c>
      <c r="T751" s="8">
        <v>98.266144239949</v>
      </c>
      <c r="U751" s="9">
        <v>46.7799799934159</v>
      </c>
      <c r="V751" t="s">
        <v>308</v>
      </c>
      <c r="W751" s="8">
        <v>98.101349999999996</v>
      </c>
      <c r="X751">
        <v>39121312</v>
      </c>
      <c r="Y751" s="8">
        <v>98.101349999999996</v>
      </c>
      <c r="Z751">
        <v>39121312</v>
      </c>
      <c r="AA751" s="8">
        <v>98.101159999999993</v>
      </c>
      <c r="AB751" t="b">
        <f t="shared" si="11"/>
        <v>0</v>
      </c>
    </row>
    <row r="752" spans="1:28" x14ac:dyDescent="0.3">
      <c r="A752">
        <v>897806</v>
      </c>
      <c r="B752" t="s">
        <v>2092</v>
      </c>
      <c r="C752" t="s">
        <v>1054</v>
      </c>
      <c r="E752" t="s">
        <v>2093</v>
      </c>
      <c r="V752" t="s">
        <v>104</v>
      </c>
      <c r="W752" s="9">
        <v>88.673042999999893</v>
      </c>
      <c r="X752">
        <v>39121700</v>
      </c>
      <c r="Y752" s="9">
        <v>88.673042999999893</v>
      </c>
      <c r="Z752">
        <v>39121700</v>
      </c>
      <c r="AA752" s="9">
        <v>88.672949999999901</v>
      </c>
      <c r="AB752" t="b">
        <f t="shared" si="11"/>
        <v>0</v>
      </c>
    </row>
    <row r="753" spans="1:28" x14ac:dyDescent="0.3">
      <c r="A753">
        <v>897807</v>
      </c>
      <c r="B753" t="s">
        <v>2094</v>
      </c>
      <c r="C753" t="s">
        <v>1054</v>
      </c>
      <c r="D753" t="s">
        <v>2095</v>
      </c>
      <c r="E753" t="s">
        <v>2096</v>
      </c>
      <c r="G753">
        <v>335878</v>
      </c>
      <c r="H753" t="s">
        <v>2095</v>
      </c>
      <c r="I753" t="s">
        <v>104</v>
      </c>
      <c r="J753" s="5">
        <v>781011047139</v>
      </c>
      <c r="K753">
        <v>39121702</v>
      </c>
      <c r="L753" t="s">
        <v>2096</v>
      </c>
      <c r="M753">
        <v>253331</v>
      </c>
      <c r="N753" t="s">
        <v>2097</v>
      </c>
      <c r="O753" t="s">
        <v>48</v>
      </c>
      <c r="Q753" t="s">
        <v>86</v>
      </c>
      <c r="R753" s="9">
        <v>0.776471620048647</v>
      </c>
      <c r="S753" s="9">
        <v>76.323581002432306</v>
      </c>
      <c r="T753" s="9">
        <v>80.323581002432306</v>
      </c>
      <c r="U753" s="9">
        <v>74.294324009729493</v>
      </c>
      <c r="X753">
        <v>39120000</v>
      </c>
      <c r="Y753" s="8">
        <v>65.384669599999995</v>
      </c>
      <c r="Z753">
        <v>39120000</v>
      </c>
      <c r="AA753" s="8">
        <v>65.384669599999995</v>
      </c>
      <c r="AB753" t="b">
        <f t="shared" si="11"/>
        <v>0</v>
      </c>
    </row>
    <row r="754" spans="1:28" x14ac:dyDescent="0.3">
      <c r="A754">
        <v>897808</v>
      </c>
      <c r="B754" t="s">
        <v>2098</v>
      </c>
      <c r="C754" t="s">
        <v>1102</v>
      </c>
      <c r="E754" t="s">
        <v>2099</v>
      </c>
      <c r="X754">
        <v>39121312</v>
      </c>
      <c r="Y754" s="8">
        <v>80.617170000000002</v>
      </c>
      <c r="Z754">
        <v>39121312</v>
      </c>
      <c r="AA754" s="8">
        <v>80.617170000000002</v>
      </c>
      <c r="AB754" t="b">
        <f t="shared" si="11"/>
        <v>0</v>
      </c>
    </row>
    <row r="755" spans="1:28" x14ac:dyDescent="0.3">
      <c r="A755">
        <v>897809</v>
      </c>
      <c r="B755" t="s">
        <v>1463</v>
      </c>
      <c r="C755" t="s">
        <v>1102</v>
      </c>
      <c r="D755" t="s">
        <v>748</v>
      </c>
      <c r="E755" t="s">
        <v>749</v>
      </c>
      <c r="G755">
        <v>336381</v>
      </c>
      <c r="H755" t="s">
        <v>748</v>
      </c>
      <c r="I755" t="s">
        <v>308</v>
      </c>
      <c r="J755" s="5">
        <v>786189104035</v>
      </c>
      <c r="K755">
        <v>39121308</v>
      </c>
      <c r="L755" t="s">
        <v>749</v>
      </c>
      <c r="M755">
        <v>256184</v>
      </c>
      <c r="N755" t="s">
        <v>1464</v>
      </c>
      <c r="O755" t="s">
        <v>308</v>
      </c>
      <c r="Q755" t="s">
        <v>86</v>
      </c>
      <c r="R755" s="9">
        <v>0.86490818459729901</v>
      </c>
      <c r="S755" s="9">
        <v>80.745409229864904</v>
      </c>
      <c r="T755" s="9">
        <v>84.745409229864904</v>
      </c>
      <c r="U755" s="9">
        <v>91.981636919459902</v>
      </c>
      <c r="V755" t="s">
        <v>308</v>
      </c>
      <c r="W755" s="9">
        <v>88.543279999999996</v>
      </c>
      <c r="X755">
        <v>39121308</v>
      </c>
      <c r="Y755" s="9">
        <v>88.543279999999996</v>
      </c>
      <c r="Z755">
        <v>39121308</v>
      </c>
      <c r="AA755" s="8">
        <v>88.543840000000003</v>
      </c>
      <c r="AB755" t="b">
        <f t="shared" si="11"/>
        <v>0</v>
      </c>
    </row>
    <row r="756" spans="1:28" x14ac:dyDescent="0.3">
      <c r="A756">
        <v>897810</v>
      </c>
      <c r="B756" t="s">
        <v>2087</v>
      </c>
      <c r="C756" t="s">
        <v>1102</v>
      </c>
      <c r="D756" t="s">
        <v>2088</v>
      </c>
      <c r="E756" t="s">
        <v>2089</v>
      </c>
      <c r="G756">
        <v>338037</v>
      </c>
      <c r="H756" t="s">
        <v>2090</v>
      </c>
      <c r="I756" t="s">
        <v>308</v>
      </c>
      <c r="J756" s="5">
        <v>662277001984</v>
      </c>
      <c r="K756">
        <v>39121312</v>
      </c>
      <c r="L756" t="s">
        <v>2089</v>
      </c>
      <c r="M756">
        <v>256337</v>
      </c>
      <c r="N756" t="s">
        <v>2091</v>
      </c>
      <c r="O756" t="s">
        <v>308</v>
      </c>
      <c r="Q756" t="s">
        <v>86</v>
      </c>
      <c r="R756" s="9">
        <v>0.98064405689503698</v>
      </c>
      <c r="S756" s="9">
        <v>32.043850822046899</v>
      </c>
      <c r="T756" s="9">
        <v>98.266101422375897</v>
      </c>
      <c r="U756" s="9">
        <v>46.779942351803797</v>
      </c>
      <c r="V756" t="s">
        <v>308</v>
      </c>
      <c r="W756" s="9">
        <v>98.101159999999993</v>
      </c>
      <c r="X756">
        <v>39121312</v>
      </c>
      <c r="Y756" s="9">
        <v>98.101159999999993</v>
      </c>
      <c r="Z756">
        <v>39121312</v>
      </c>
      <c r="AA756" s="8">
        <v>98.101159999999993</v>
      </c>
      <c r="AB756" t="b">
        <f t="shared" si="11"/>
        <v>0</v>
      </c>
    </row>
    <row r="757" spans="1:28" x14ac:dyDescent="0.3">
      <c r="A757">
        <v>897811</v>
      </c>
      <c r="B757" t="s">
        <v>2054</v>
      </c>
      <c r="C757" t="s">
        <v>1102</v>
      </c>
      <c r="D757" t="s">
        <v>740</v>
      </c>
      <c r="E757" t="s">
        <v>757</v>
      </c>
      <c r="G757">
        <v>337871</v>
      </c>
      <c r="H757" t="s">
        <v>740</v>
      </c>
      <c r="I757" t="s">
        <v>308</v>
      </c>
      <c r="J757" s="5">
        <v>786189104288</v>
      </c>
      <c r="K757">
        <v>39121320</v>
      </c>
      <c r="L757" t="s">
        <v>741</v>
      </c>
      <c r="M757">
        <v>256430</v>
      </c>
      <c r="N757" t="s">
        <v>2055</v>
      </c>
      <c r="O757" t="s">
        <v>308</v>
      </c>
      <c r="Q757" t="s">
        <v>86</v>
      </c>
      <c r="R757" s="9">
        <v>0.91884824889306904</v>
      </c>
      <c r="S757" s="9">
        <v>83.442412444653399</v>
      </c>
      <c r="T757" s="9">
        <v>87.442412444653399</v>
      </c>
      <c r="U757" s="8">
        <v>100</v>
      </c>
      <c r="V757" t="s">
        <v>308</v>
      </c>
      <c r="W757" s="9">
        <v>92.493959999999902</v>
      </c>
      <c r="X757">
        <v>39121320</v>
      </c>
      <c r="Y757" s="9">
        <v>92.493959999999902</v>
      </c>
      <c r="Z757">
        <v>39121320</v>
      </c>
      <c r="AA757" s="8">
        <v>91.692023000000006</v>
      </c>
      <c r="AB757" t="b">
        <f t="shared" si="11"/>
        <v>0</v>
      </c>
    </row>
    <row r="758" spans="1:28" x14ac:dyDescent="0.3">
      <c r="A758">
        <v>897812</v>
      </c>
      <c r="B758" t="s">
        <v>2100</v>
      </c>
      <c r="C758" t="s">
        <v>1102</v>
      </c>
      <c r="D758" t="s">
        <v>2101</v>
      </c>
      <c r="E758" t="s">
        <v>2102</v>
      </c>
      <c r="G758">
        <v>337922</v>
      </c>
      <c r="H758" t="s">
        <v>2101</v>
      </c>
      <c r="I758" t="s">
        <v>308</v>
      </c>
      <c r="J758" s="5">
        <v>786189105865</v>
      </c>
      <c r="K758">
        <v>39121321</v>
      </c>
      <c r="L758" t="s">
        <v>2102</v>
      </c>
      <c r="M758">
        <v>256495</v>
      </c>
      <c r="N758" t="s">
        <v>2103</v>
      </c>
      <c r="O758" t="s">
        <v>308</v>
      </c>
      <c r="Q758" t="s">
        <v>86</v>
      </c>
      <c r="R758" s="9">
        <v>0.80756297087129603</v>
      </c>
      <c r="S758" s="9">
        <v>44.685077494168198</v>
      </c>
      <c r="T758" s="9">
        <v>38.792390519960101</v>
      </c>
      <c r="U758" s="9">
        <v>80.512594174259206</v>
      </c>
      <c r="V758" t="s">
        <v>308</v>
      </c>
      <c r="W758" s="8">
        <v>88.135516999999993</v>
      </c>
      <c r="X758">
        <v>39121321</v>
      </c>
      <c r="Y758" s="8">
        <v>88.135516999999993</v>
      </c>
      <c r="Z758">
        <v>39121321</v>
      </c>
      <c r="AA758" s="8">
        <v>88.135090000000005</v>
      </c>
      <c r="AB758" t="b">
        <f t="shared" si="11"/>
        <v>0</v>
      </c>
    </row>
    <row r="759" spans="1:28" x14ac:dyDescent="0.3">
      <c r="A759">
        <v>897813</v>
      </c>
      <c r="B759" t="s">
        <v>2104</v>
      </c>
      <c r="C759" t="s">
        <v>1192</v>
      </c>
      <c r="D759" t="s">
        <v>698</v>
      </c>
      <c r="E759" t="s">
        <v>699</v>
      </c>
      <c r="O759" t="s">
        <v>144</v>
      </c>
      <c r="P759" t="s">
        <v>1192</v>
      </c>
      <c r="Q759" t="s">
        <v>40</v>
      </c>
      <c r="T759" s="8">
        <v>60</v>
      </c>
      <c r="V759" t="s">
        <v>144</v>
      </c>
      <c r="W759" s="9">
        <v>85.908615999999995</v>
      </c>
      <c r="X759">
        <v>31201502</v>
      </c>
      <c r="Y759" s="9">
        <v>85.908615999999995</v>
      </c>
      <c r="Z759">
        <v>31201502</v>
      </c>
      <c r="AA759" s="9">
        <v>85.908615999999995</v>
      </c>
      <c r="AB759" t="b">
        <f t="shared" si="11"/>
        <v>0</v>
      </c>
    </row>
    <row r="760" spans="1:28" x14ac:dyDescent="0.3">
      <c r="A760">
        <v>897814</v>
      </c>
      <c r="B760" t="s">
        <v>1127</v>
      </c>
      <c r="C760" t="s">
        <v>42</v>
      </c>
      <c r="D760" t="s">
        <v>1128</v>
      </c>
      <c r="O760" t="s">
        <v>45</v>
      </c>
      <c r="P760" t="s">
        <v>42</v>
      </c>
      <c r="Q760" t="s">
        <v>40</v>
      </c>
      <c r="T760" s="8">
        <v>60</v>
      </c>
      <c r="X760">
        <v>39121464</v>
      </c>
      <c r="Y760" s="8">
        <v>53.256520000000002</v>
      </c>
      <c r="Z760">
        <v>39121464</v>
      </c>
      <c r="AA760" s="8">
        <v>53.256520000000002</v>
      </c>
      <c r="AB760" t="b">
        <f t="shared" si="11"/>
        <v>0</v>
      </c>
    </row>
    <row r="761" spans="1:28" x14ac:dyDescent="0.3">
      <c r="A761">
        <v>897815</v>
      </c>
      <c r="B761" t="s">
        <v>2105</v>
      </c>
      <c r="C761" t="s">
        <v>1102</v>
      </c>
      <c r="D761" t="s">
        <v>748</v>
      </c>
      <c r="E761" t="s">
        <v>749</v>
      </c>
      <c r="G761">
        <v>336381</v>
      </c>
      <c r="H761" t="s">
        <v>748</v>
      </c>
      <c r="I761" t="s">
        <v>308</v>
      </c>
      <c r="J761" s="5">
        <v>786189104035</v>
      </c>
      <c r="K761">
        <v>39121308</v>
      </c>
      <c r="L761" t="s">
        <v>749</v>
      </c>
      <c r="M761">
        <v>256185</v>
      </c>
      <c r="N761" t="s">
        <v>2106</v>
      </c>
      <c r="O761" t="s">
        <v>308</v>
      </c>
      <c r="Q761" t="s">
        <v>86</v>
      </c>
      <c r="R761" s="9">
        <v>0.872252231105072</v>
      </c>
      <c r="S761" s="9">
        <v>81.112611555253594</v>
      </c>
      <c r="T761" s="9">
        <v>85.112611555253594</v>
      </c>
      <c r="U761" s="9">
        <v>93.450446221014403</v>
      </c>
      <c r="V761" t="s">
        <v>308</v>
      </c>
      <c r="W761" s="8">
        <v>90.138125000000002</v>
      </c>
      <c r="X761">
        <v>39121308</v>
      </c>
      <c r="Y761" s="8">
        <v>90.138125000000002</v>
      </c>
      <c r="Z761">
        <v>39121308</v>
      </c>
      <c r="AA761" s="8">
        <v>90.138125000000002</v>
      </c>
      <c r="AB761" t="b">
        <f t="shared" si="11"/>
        <v>0</v>
      </c>
    </row>
    <row r="762" spans="1:28" x14ac:dyDescent="0.3">
      <c r="A762">
        <v>897816</v>
      </c>
      <c r="B762" t="s">
        <v>2046</v>
      </c>
      <c r="C762" t="s">
        <v>1117</v>
      </c>
      <c r="D762" t="s">
        <v>2047</v>
      </c>
      <c r="E762" t="s">
        <v>2048</v>
      </c>
      <c r="G762">
        <v>335835</v>
      </c>
      <c r="H762" t="s">
        <v>2047</v>
      </c>
      <c r="I762" t="s">
        <v>417</v>
      </c>
      <c r="J762" s="6" t="s">
        <v>2049</v>
      </c>
      <c r="K762">
        <v>39131700</v>
      </c>
      <c r="L762" t="s">
        <v>2048</v>
      </c>
      <c r="M762">
        <v>252656</v>
      </c>
      <c r="N762" t="s">
        <v>2050</v>
      </c>
      <c r="O762" t="s">
        <v>417</v>
      </c>
      <c r="Q762" t="s">
        <v>86</v>
      </c>
      <c r="R762" s="9">
        <v>0.96252462468151101</v>
      </c>
      <c r="S762" s="8">
        <v>21.316026036852101</v>
      </c>
      <c r="T762" s="9">
        <v>18.726747626851601</v>
      </c>
      <c r="U762" s="9">
        <v>30.577083936256301</v>
      </c>
      <c r="V762" t="s">
        <v>417</v>
      </c>
      <c r="W762" s="8">
        <v>96.387833000000001</v>
      </c>
      <c r="X762">
        <v>39131700</v>
      </c>
      <c r="Y762" s="8">
        <v>96.387833000000001</v>
      </c>
      <c r="Z762">
        <v>39131700</v>
      </c>
      <c r="AA762" s="8">
        <v>96.387833000000001</v>
      </c>
      <c r="AB762" t="b">
        <f t="shared" si="11"/>
        <v>0</v>
      </c>
    </row>
    <row r="763" spans="1:28" x14ac:dyDescent="0.3">
      <c r="A763">
        <v>897817</v>
      </c>
      <c r="B763" t="s">
        <v>1326</v>
      </c>
      <c r="C763" t="s">
        <v>1054</v>
      </c>
      <c r="D763" t="s">
        <v>1327</v>
      </c>
      <c r="E763" t="s">
        <v>1328</v>
      </c>
      <c r="V763" t="s">
        <v>104</v>
      </c>
      <c r="W763" s="9">
        <v>92.703192999999899</v>
      </c>
      <c r="X763">
        <v>39121701</v>
      </c>
      <c r="Y763" s="9">
        <v>92.703192999999899</v>
      </c>
      <c r="Z763">
        <v>39121701</v>
      </c>
      <c r="AA763" s="8">
        <v>92.143973500000001</v>
      </c>
      <c r="AB763" t="b">
        <f t="shared" si="11"/>
        <v>0</v>
      </c>
    </row>
    <row r="764" spans="1:28" x14ac:dyDescent="0.3">
      <c r="A764">
        <v>897818</v>
      </c>
      <c r="B764" t="s">
        <v>2107</v>
      </c>
      <c r="C764" t="s">
        <v>1104</v>
      </c>
      <c r="D764" t="s">
        <v>2108</v>
      </c>
      <c r="E764" t="s">
        <v>2109</v>
      </c>
      <c r="G764">
        <v>215770</v>
      </c>
      <c r="H764" t="s">
        <v>2108</v>
      </c>
      <c r="I764" t="s">
        <v>321</v>
      </c>
      <c r="J764" s="5">
        <v>781002177852</v>
      </c>
      <c r="K764">
        <v>31161528</v>
      </c>
      <c r="M764">
        <v>208397</v>
      </c>
      <c r="N764" t="s">
        <v>2110</v>
      </c>
      <c r="O764" t="s">
        <v>321</v>
      </c>
      <c r="Q764" t="s">
        <v>86</v>
      </c>
      <c r="R764" s="9">
        <v>0.93140307829843605</v>
      </c>
      <c r="S764" s="8">
        <v>100</v>
      </c>
      <c r="T764" s="8">
        <v>100</v>
      </c>
      <c r="U764" s="8">
        <v>100</v>
      </c>
      <c r="V764" t="s">
        <v>321</v>
      </c>
      <c r="W764" s="9">
        <v>93.580662999999902</v>
      </c>
      <c r="X764">
        <v>31161528</v>
      </c>
      <c r="Y764" s="9">
        <v>93.580662999999902</v>
      </c>
      <c r="Z764">
        <v>31161528</v>
      </c>
      <c r="AA764" s="8">
        <v>93.503292999999999</v>
      </c>
      <c r="AB764" t="b">
        <f t="shared" si="11"/>
        <v>0</v>
      </c>
    </row>
    <row r="765" spans="1:28" x14ac:dyDescent="0.3">
      <c r="A765">
        <v>897819</v>
      </c>
      <c r="B765" t="s">
        <v>2111</v>
      </c>
      <c r="C765" t="s">
        <v>1090</v>
      </c>
      <c r="D765" t="s">
        <v>2112</v>
      </c>
      <c r="E765" t="s">
        <v>2113</v>
      </c>
      <c r="G765">
        <v>336570</v>
      </c>
      <c r="H765">
        <v>303392</v>
      </c>
      <c r="I765" t="s">
        <v>603</v>
      </c>
      <c r="J765" s="5">
        <v>783250474981</v>
      </c>
      <c r="K765">
        <v>39121613</v>
      </c>
      <c r="L765" t="s">
        <v>2113</v>
      </c>
      <c r="M765">
        <v>260598</v>
      </c>
      <c r="N765" t="s">
        <v>2114</v>
      </c>
      <c r="O765" t="s">
        <v>603</v>
      </c>
      <c r="Q765" t="s">
        <v>86</v>
      </c>
      <c r="R765" s="9">
        <v>0.89785293153643297</v>
      </c>
      <c r="S765" s="9">
        <v>82.392646576821605</v>
      </c>
      <c r="T765" s="9">
        <v>86.392646576821605</v>
      </c>
      <c r="U765" s="9">
        <v>98.570586307286703</v>
      </c>
      <c r="V765" t="s">
        <v>603</v>
      </c>
      <c r="W765" s="9">
        <v>90.732009999999903</v>
      </c>
      <c r="X765">
        <v>39121613</v>
      </c>
      <c r="Y765" s="9">
        <v>90.732009999999903</v>
      </c>
      <c r="Z765">
        <v>39121613</v>
      </c>
      <c r="AA765" s="9">
        <v>90.732009999999903</v>
      </c>
      <c r="AB765" t="b">
        <f t="shared" si="11"/>
        <v>0</v>
      </c>
    </row>
    <row r="766" spans="1:28" x14ac:dyDescent="0.3">
      <c r="A766">
        <v>897820</v>
      </c>
      <c r="B766" t="s">
        <v>2115</v>
      </c>
      <c r="C766" t="s">
        <v>2116</v>
      </c>
      <c r="D766" t="s">
        <v>2117</v>
      </c>
      <c r="E766" t="s">
        <v>2118</v>
      </c>
      <c r="O766" t="s">
        <v>2119</v>
      </c>
      <c r="P766" t="s">
        <v>2116</v>
      </c>
      <c r="Q766" t="s">
        <v>40</v>
      </c>
      <c r="T766" s="8">
        <v>70</v>
      </c>
      <c r="AB766" t="b">
        <f t="shared" si="11"/>
        <v>0</v>
      </c>
    </row>
    <row r="767" spans="1:28" x14ac:dyDescent="0.3">
      <c r="A767">
        <v>897821</v>
      </c>
      <c r="B767" t="s">
        <v>2120</v>
      </c>
      <c r="C767" t="s">
        <v>1167</v>
      </c>
      <c r="D767" t="s">
        <v>2121</v>
      </c>
      <c r="E767" t="s">
        <v>2122</v>
      </c>
      <c r="G767">
        <v>338863</v>
      </c>
      <c r="H767" t="s">
        <v>2123</v>
      </c>
      <c r="I767" t="s">
        <v>73</v>
      </c>
      <c r="J767" s="5">
        <v>783310309192</v>
      </c>
      <c r="K767">
        <v>27111509</v>
      </c>
      <c r="L767" t="s">
        <v>2122</v>
      </c>
      <c r="M767">
        <v>259012</v>
      </c>
      <c r="N767" t="s">
        <v>2124</v>
      </c>
      <c r="O767" t="s">
        <v>73</v>
      </c>
      <c r="Q767" t="s">
        <v>86</v>
      </c>
      <c r="R767" s="9">
        <v>0.88876393575214596</v>
      </c>
      <c r="S767" s="9">
        <v>86.938196787607296</v>
      </c>
      <c r="T767" s="9">
        <v>88.938196787607296</v>
      </c>
      <c r="U767" s="9">
        <v>99.752787150429299</v>
      </c>
      <c r="V767" t="s">
        <v>73</v>
      </c>
      <c r="W767" s="9">
        <v>93.863445999999897</v>
      </c>
      <c r="X767">
        <v>27111537</v>
      </c>
      <c r="Y767" s="8">
        <v>93.863445999999996</v>
      </c>
      <c r="Z767">
        <v>27111537</v>
      </c>
      <c r="AA767" s="8">
        <v>93.863445999999996</v>
      </c>
      <c r="AB767" t="b">
        <f t="shared" si="11"/>
        <v>0</v>
      </c>
    </row>
    <row r="768" spans="1:28" x14ac:dyDescent="0.3">
      <c r="A768">
        <v>897822</v>
      </c>
      <c r="B768" t="s">
        <v>2125</v>
      </c>
      <c r="C768" t="s">
        <v>1841</v>
      </c>
      <c r="D768" t="s">
        <v>2126</v>
      </c>
      <c r="E768" t="s">
        <v>2127</v>
      </c>
      <c r="G768">
        <v>172319</v>
      </c>
      <c r="H768">
        <v>1316</v>
      </c>
      <c r="I768" t="s">
        <v>838</v>
      </c>
      <c r="J768" s="5">
        <v>783669983319</v>
      </c>
      <c r="K768">
        <v>39121405</v>
      </c>
      <c r="M768">
        <v>118391</v>
      </c>
      <c r="N768" t="s">
        <v>2128</v>
      </c>
      <c r="O768" t="s">
        <v>838</v>
      </c>
      <c r="Q768" t="s">
        <v>75</v>
      </c>
      <c r="R768" s="9">
        <v>0.49118487363730101</v>
      </c>
      <c r="S768" s="9">
        <v>25.4846056257641</v>
      </c>
      <c r="T768" s="9">
        <v>15.1430136041245</v>
      </c>
      <c r="U768" s="8">
        <v>0</v>
      </c>
      <c r="X768">
        <v>30102204</v>
      </c>
      <c r="Y768" s="8">
        <v>45.587766000000002</v>
      </c>
      <c r="Z768">
        <v>30102204</v>
      </c>
      <c r="AA768" s="8">
        <v>45.587766000000002</v>
      </c>
      <c r="AB768" t="b">
        <f t="shared" si="11"/>
        <v>0</v>
      </c>
    </row>
    <row r="769" spans="1:28" x14ac:dyDescent="0.3">
      <c r="A769">
        <v>897824</v>
      </c>
      <c r="B769" t="s">
        <v>2111</v>
      </c>
      <c r="C769" t="s">
        <v>1090</v>
      </c>
      <c r="D769" t="s">
        <v>2112</v>
      </c>
      <c r="E769" t="s">
        <v>2113</v>
      </c>
      <c r="G769">
        <v>336570</v>
      </c>
      <c r="H769">
        <v>303392</v>
      </c>
      <c r="I769" t="s">
        <v>603</v>
      </c>
      <c r="J769" s="5">
        <v>783250474981</v>
      </c>
      <c r="K769">
        <v>39121613</v>
      </c>
      <c r="L769" t="s">
        <v>2113</v>
      </c>
      <c r="M769">
        <v>260598</v>
      </c>
      <c r="N769" t="s">
        <v>2114</v>
      </c>
      <c r="O769" t="s">
        <v>603</v>
      </c>
      <c r="Q769" t="s">
        <v>86</v>
      </c>
      <c r="R769" s="9">
        <v>0.89785293153643297</v>
      </c>
      <c r="S769" s="9">
        <v>82.392646576821605</v>
      </c>
      <c r="T769" s="9">
        <v>86.392646576821605</v>
      </c>
      <c r="U769" s="9">
        <v>98.570586307286703</v>
      </c>
      <c r="V769" t="s">
        <v>603</v>
      </c>
      <c r="W769" s="9">
        <v>90.732009999999903</v>
      </c>
      <c r="X769">
        <v>39121613</v>
      </c>
      <c r="Y769" s="9">
        <v>90.732009999999903</v>
      </c>
      <c r="Z769">
        <v>39121613</v>
      </c>
      <c r="AA769" s="9">
        <v>90.732009999999903</v>
      </c>
      <c r="AB769" t="b">
        <f t="shared" si="11"/>
        <v>0</v>
      </c>
    </row>
    <row r="770" spans="1:28" x14ac:dyDescent="0.3">
      <c r="A770">
        <v>897825</v>
      </c>
      <c r="B770" t="s">
        <v>2129</v>
      </c>
      <c r="C770" t="s">
        <v>2130</v>
      </c>
      <c r="D770" t="s">
        <v>2131</v>
      </c>
      <c r="O770" t="s">
        <v>45</v>
      </c>
      <c r="P770" t="s">
        <v>154</v>
      </c>
      <c r="Q770" t="s">
        <v>40</v>
      </c>
      <c r="T770" s="8">
        <v>60</v>
      </c>
      <c r="AB770" t="b">
        <f t="shared" si="11"/>
        <v>0</v>
      </c>
    </row>
    <row r="771" spans="1:28" x14ac:dyDescent="0.3">
      <c r="A771">
        <v>897826</v>
      </c>
      <c r="B771" t="s">
        <v>2132</v>
      </c>
      <c r="C771" t="s">
        <v>1587</v>
      </c>
      <c r="D771" t="s">
        <v>2133</v>
      </c>
      <c r="O771" t="s">
        <v>45</v>
      </c>
      <c r="P771" t="s">
        <v>154</v>
      </c>
      <c r="Q771" t="s">
        <v>40</v>
      </c>
      <c r="T771" s="8">
        <v>60</v>
      </c>
      <c r="X771">
        <v>39131717</v>
      </c>
      <c r="Y771" s="8">
        <v>63.842728000000001</v>
      </c>
      <c r="Z771">
        <v>39131717</v>
      </c>
      <c r="AA771" s="8">
        <v>63.842728000000001</v>
      </c>
      <c r="AB771" t="b">
        <f t="shared" ref="AB771:AB834" si="12">(AA771-Y771)&lt;-1</f>
        <v>0</v>
      </c>
    </row>
    <row r="772" spans="1:28" x14ac:dyDescent="0.3">
      <c r="A772">
        <v>897827</v>
      </c>
      <c r="B772" t="s">
        <v>2134</v>
      </c>
      <c r="C772" t="s">
        <v>2135</v>
      </c>
      <c r="AB772" t="b">
        <f t="shared" si="12"/>
        <v>0</v>
      </c>
    </row>
    <row r="773" spans="1:28" x14ac:dyDescent="0.3">
      <c r="A773">
        <v>897828</v>
      </c>
      <c r="B773" t="s">
        <v>2136</v>
      </c>
      <c r="C773" t="s">
        <v>2137</v>
      </c>
      <c r="X773">
        <v>31161727</v>
      </c>
      <c r="Y773" s="8">
        <v>79.34769</v>
      </c>
      <c r="Z773">
        <v>31161727</v>
      </c>
      <c r="AA773" s="8">
        <v>79.34769</v>
      </c>
      <c r="AB773" t="b">
        <f t="shared" si="12"/>
        <v>0</v>
      </c>
    </row>
    <row r="774" spans="1:28" x14ac:dyDescent="0.3">
      <c r="A774">
        <v>897829</v>
      </c>
      <c r="B774" t="s">
        <v>2138</v>
      </c>
      <c r="C774" t="s">
        <v>2135</v>
      </c>
      <c r="X774">
        <v>39121700</v>
      </c>
      <c r="Y774" s="8">
        <v>64.340655999999996</v>
      </c>
      <c r="Z774">
        <v>39121700</v>
      </c>
      <c r="AA774" s="8">
        <v>64.340655999999996</v>
      </c>
      <c r="AB774" t="b">
        <f t="shared" si="12"/>
        <v>0</v>
      </c>
    </row>
    <row r="775" spans="1:28" x14ac:dyDescent="0.3">
      <c r="A775">
        <v>897830</v>
      </c>
      <c r="B775" t="s">
        <v>2139</v>
      </c>
      <c r="C775" t="s">
        <v>2135</v>
      </c>
      <c r="X775">
        <v>39121700</v>
      </c>
      <c r="Y775" s="8">
        <v>78.950787000000005</v>
      </c>
      <c r="Z775">
        <v>39121700</v>
      </c>
      <c r="AA775" s="8">
        <v>78.950787000000005</v>
      </c>
      <c r="AB775" t="b">
        <f t="shared" si="12"/>
        <v>0</v>
      </c>
    </row>
    <row r="776" spans="1:28" x14ac:dyDescent="0.3">
      <c r="A776">
        <v>897831</v>
      </c>
      <c r="B776" t="s">
        <v>2136</v>
      </c>
      <c r="C776" t="s">
        <v>2137</v>
      </c>
      <c r="X776">
        <v>31161727</v>
      </c>
      <c r="Y776" s="8">
        <v>79.34769</v>
      </c>
      <c r="Z776">
        <v>31161727</v>
      </c>
      <c r="AA776" s="8">
        <v>79.349816000000004</v>
      </c>
      <c r="AB776" t="b">
        <f t="shared" si="12"/>
        <v>0</v>
      </c>
    </row>
    <row r="777" spans="1:28" x14ac:dyDescent="0.3">
      <c r="A777">
        <v>897832</v>
      </c>
      <c r="B777" t="s">
        <v>2140</v>
      </c>
      <c r="C777" t="s">
        <v>2141</v>
      </c>
      <c r="D777" t="s">
        <v>2142</v>
      </c>
      <c r="E777" t="s">
        <v>2143</v>
      </c>
      <c r="O777" t="s">
        <v>45</v>
      </c>
      <c r="P777" t="s">
        <v>42</v>
      </c>
      <c r="Q777" t="s">
        <v>40</v>
      </c>
      <c r="T777" s="8">
        <v>60</v>
      </c>
      <c r="V777" t="s">
        <v>1315</v>
      </c>
      <c r="W777" s="8">
        <v>86.563789999999997</v>
      </c>
      <c r="X777">
        <v>39131707</v>
      </c>
      <c r="Y777" s="8">
        <v>86.563789999999997</v>
      </c>
      <c r="Z777">
        <v>39131707</v>
      </c>
      <c r="AA777" s="8">
        <v>86.563789999999997</v>
      </c>
      <c r="AB777" t="b">
        <f t="shared" si="12"/>
        <v>0</v>
      </c>
    </row>
    <row r="778" spans="1:28" x14ac:dyDescent="0.3">
      <c r="A778">
        <v>897833</v>
      </c>
      <c r="B778" t="s">
        <v>2134</v>
      </c>
      <c r="C778" t="s">
        <v>2135</v>
      </c>
      <c r="AB778" t="b">
        <f t="shared" si="12"/>
        <v>0</v>
      </c>
    </row>
    <row r="779" spans="1:28" x14ac:dyDescent="0.3">
      <c r="A779">
        <v>897834</v>
      </c>
      <c r="B779" t="s">
        <v>2144</v>
      </c>
      <c r="C779" t="s">
        <v>1841</v>
      </c>
      <c r="D779" t="s">
        <v>2145</v>
      </c>
      <c r="E779" t="s">
        <v>2146</v>
      </c>
      <c r="G779">
        <v>341252</v>
      </c>
      <c r="H779" t="s">
        <v>2147</v>
      </c>
      <c r="I779" t="s">
        <v>1845</v>
      </c>
      <c r="J779" s="5">
        <v>702316501423</v>
      </c>
      <c r="K779">
        <v>31161812</v>
      </c>
      <c r="L779" t="s">
        <v>2146</v>
      </c>
      <c r="M779">
        <v>265795</v>
      </c>
      <c r="N779" t="s">
        <v>2148</v>
      </c>
      <c r="O779" t="s">
        <v>1845</v>
      </c>
      <c r="Q779" t="s">
        <v>75</v>
      </c>
      <c r="R779" s="9">
        <v>0.89381559106002495</v>
      </c>
      <c r="S779" s="9">
        <v>97.190779553001207</v>
      </c>
      <c r="T779" s="9">
        <v>61.1907795530012</v>
      </c>
      <c r="U779" s="8">
        <v>100</v>
      </c>
      <c r="V779" t="s">
        <v>1845</v>
      </c>
      <c r="W779" s="9">
        <v>90.400844999999904</v>
      </c>
      <c r="X779">
        <v>31161812</v>
      </c>
      <c r="Y779" s="9">
        <v>90.400844999999904</v>
      </c>
      <c r="Z779">
        <v>31161812</v>
      </c>
      <c r="AA779" s="9">
        <v>90.258255499999905</v>
      </c>
      <c r="AB779" t="b">
        <f t="shared" si="12"/>
        <v>0</v>
      </c>
    </row>
    <row r="780" spans="1:28" x14ac:dyDescent="0.3">
      <c r="A780">
        <v>897835</v>
      </c>
      <c r="B780" t="s">
        <v>2149</v>
      </c>
      <c r="C780" t="s">
        <v>2135</v>
      </c>
      <c r="X780">
        <v>31161801</v>
      </c>
      <c r="Y780" s="8">
        <v>64.8539064</v>
      </c>
      <c r="Z780">
        <v>31161801</v>
      </c>
      <c r="AA780" s="8">
        <v>64.8539064</v>
      </c>
      <c r="AB780" t="b">
        <f t="shared" si="12"/>
        <v>0</v>
      </c>
    </row>
    <row r="781" spans="1:28" x14ac:dyDescent="0.3">
      <c r="A781">
        <v>897836</v>
      </c>
      <c r="B781" t="s">
        <v>2150</v>
      </c>
      <c r="C781" t="s">
        <v>2135</v>
      </c>
      <c r="X781">
        <v>31161801</v>
      </c>
      <c r="Y781" s="8">
        <v>82.477450000000005</v>
      </c>
      <c r="Z781">
        <v>31161801</v>
      </c>
      <c r="AA781" s="8">
        <v>82.477450000000005</v>
      </c>
      <c r="AB781" t="b">
        <f t="shared" si="12"/>
        <v>0</v>
      </c>
    </row>
    <row r="782" spans="1:28" x14ac:dyDescent="0.3">
      <c r="A782">
        <v>897837</v>
      </c>
      <c r="B782" t="s">
        <v>2151</v>
      </c>
      <c r="C782" t="s">
        <v>2152</v>
      </c>
      <c r="D782" t="s">
        <v>2153</v>
      </c>
      <c r="AB782" t="b">
        <f t="shared" si="12"/>
        <v>0</v>
      </c>
    </row>
    <row r="783" spans="1:28" x14ac:dyDescent="0.3">
      <c r="A783">
        <v>897838</v>
      </c>
      <c r="B783" t="s">
        <v>2154</v>
      </c>
      <c r="C783" t="s">
        <v>2135</v>
      </c>
      <c r="X783">
        <v>39120000</v>
      </c>
      <c r="Y783" s="8">
        <v>47.5711656</v>
      </c>
      <c r="Z783">
        <v>39120000</v>
      </c>
      <c r="AA783" s="8">
        <v>47.5711656</v>
      </c>
      <c r="AB783" t="b">
        <f t="shared" si="12"/>
        <v>0</v>
      </c>
    </row>
    <row r="784" spans="1:28" x14ac:dyDescent="0.3">
      <c r="A784">
        <v>897839</v>
      </c>
      <c r="B784" t="s">
        <v>2155</v>
      </c>
      <c r="C784" t="s">
        <v>2152</v>
      </c>
      <c r="D784" t="s">
        <v>2156</v>
      </c>
      <c r="X784">
        <v>39121300</v>
      </c>
      <c r="Y784" s="8">
        <v>77.293689999999998</v>
      </c>
      <c r="Z784">
        <v>39121300</v>
      </c>
      <c r="AA784" s="8">
        <v>77.293689999999998</v>
      </c>
      <c r="AB784" t="b">
        <f t="shared" si="12"/>
        <v>0</v>
      </c>
    </row>
    <row r="785" spans="1:28" x14ac:dyDescent="0.3">
      <c r="A785">
        <v>897840</v>
      </c>
      <c r="B785" t="s">
        <v>2157</v>
      </c>
      <c r="C785" t="s">
        <v>1841</v>
      </c>
      <c r="D785" t="s">
        <v>2158</v>
      </c>
      <c r="E785" t="s">
        <v>2159</v>
      </c>
      <c r="G785">
        <v>341260</v>
      </c>
      <c r="H785" t="s">
        <v>2160</v>
      </c>
      <c r="I785" t="s">
        <v>1845</v>
      </c>
      <c r="J785" s="5">
        <v>702316501416</v>
      </c>
      <c r="K785">
        <v>31161800</v>
      </c>
      <c r="L785" t="s">
        <v>2159</v>
      </c>
      <c r="M785">
        <v>265821</v>
      </c>
      <c r="N785" t="s">
        <v>2161</v>
      </c>
      <c r="O785" t="s">
        <v>1845</v>
      </c>
      <c r="Q785" t="s">
        <v>75</v>
      </c>
      <c r="R785" s="9">
        <v>0.84581358061716705</v>
      </c>
      <c r="S785" s="9">
        <v>94.7906790308583</v>
      </c>
      <c r="T785" s="9">
        <v>58.7906790308583</v>
      </c>
      <c r="U785" s="9">
        <v>93.162716123433398</v>
      </c>
      <c r="V785" t="s">
        <v>1845</v>
      </c>
      <c r="W785" s="8">
        <v>86.641109999999998</v>
      </c>
      <c r="X785">
        <v>31161812</v>
      </c>
      <c r="Y785" s="8">
        <v>86.520403999999999</v>
      </c>
      <c r="Z785">
        <v>31161812</v>
      </c>
      <c r="AA785" s="8">
        <v>86.520403999999999</v>
      </c>
      <c r="AB785" t="b">
        <f t="shared" si="12"/>
        <v>0</v>
      </c>
    </row>
    <row r="786" spans="1:28" x14ac:dyDescent="0.3">
      <c r="A786">
        <v>897841</v>
      </c>
      <c r="B786" t="s">
        <v>2162</v>
      </c>
      <c r="C786" t="s">
        <v>2135</v>
      </c>
      <c r="X786">
        <v>31161823</v>
      </c>
      <c r="Y786" s="8">
        <v>66.349139199999996</v>
      </c>
      <c r="Z786">
        <v>31161823</v>
      </c>
      <c r="AA786" s="8">
        <v>66.349139199999996</v>
      </c>
      <c r="AB786" t="b">
        <f t="shared" si="12"/>
        <v>0</v>
      </c>
    </row>
    <row r="787" spans="1:28" x14ac:dyDescent="0.3">
      <c r="A787">
        <v>897842</v>
      </c>
      <c r="B787" t="s">
        <v>2163</v>
      </c>
      <c r="C787" t="s">
        <v>2164</v>
      </c>
      <c r="X787">
        <v>31161708</v>
      </c>
      <c r="Y787" s="8">
        <v>78.578850000000003</v>
      </c>
      <c r="Z787">
        <v>31161708</v>
      </c>
      <c r="AA787" s="8">
        <v>78.578850000000003</v>
      </c>
      <c r="AB787" t="b">
        <f t="shared" si="12"/>
        <v>0</v>
      </c>
    </row>
    <row r="788" spans="1:28" x14ac:dyDescent="0.3">
      <c r="A788">
        <v>897843</v>
      </c>
      <c r="B788" t="s">
        <v>2165</v>
      </c>
      <c r="C788" t="s">
        <v>2135</v>
      </c>
      <c r="X788">
        <v>39121700</v>
      </c>
      <c r="Y788" s="9">
        <v>80.117922999999905</v>
      </c>
      <c r="Z788">
        <v>39121700</v>
      </c>
      <c r="AA788" s="9">
        <v>80.117922999999905</v>
      </c>
      <c r="AB788" t="b">
        <f t="shared" si="12"/>
        <v>0</v>
      </c>
    </row>
    <row r="789" spans="1:28" x14ac:dyDescent="0.3">
      <c r="A789">
        <v>897844</v>
      </c>
      <c r="B789" t="s">
        <v>2166</v>
      </c>
      <c r="C789" t="s">
        <v>2167</v>
      </c>
      <c r="X789">
        <v>31161812</v>
      </c>
      <c r="Y789" s="8">
        <v>81.046533999999994</v>
      </c>
      <c r="Z789">
        <v>31161812</v>
      </c>
      <c r="AA789" s="8">
        <v>81.046533999999994</v>
      </c>
      <c r="AB789" t="b">
        <f t="shared" si="12"/>
        <v>0</v>
      </c>
    </row>
    <row r="790" spans="1:28" x14ac:dyDescent="0.3">
      <c r="A790">
        <v>897845</v>
      </c>
      <c r="B790" t="s">
        <v>2168</v>
      </c>
      <c r="C790" t="s">
        <v>1054</v>
      </c>
      <c r="D790" t="s">
        <v>2169</v>
      </c>
      <c r="E790" t="s">
        <v>2170</v>
      </c>
      <c r="G790">
        <v>337244</v>
      </c>
      <c r="H790" t="s">
        <v>2169</v>
      </c>
      <c r="I790" t="s">
        <v>104</v>
      </c>
      <c r="J790" s="5">
        <v>781011403737</v>
      </c>
      <c r="K790">
        <v>31161708</v>
      </c>
      <c r="L790" t="s">
        <v>2170</v>
      </c>
      <c r="M790">
        <v>253355</v>
      </c>
      <c r="N790" t="s">
        <v>2171</v>
      </c>
      <c r="O790" t="s">
        <v>48</v>
      </c>
      <c r="Q790" t="s">
        <v>86</v>
      </c>
      <c r="R790" s="9">
        <v>0.96505571213670904</v>
      </c>
      <c r="S790" s="9">
        <v>90.752785606835403</v>
      </c>
      <c r="T790" s="9">
        <v>92.752785606835403</v>
      </c>
      <c r="U790" s="8">
        <v>100</v>
      </c>
      <c r="V790" t="s">
        <v>104</v>
      </c>
      <c r="W790" s="8">
        <v>96.623570000000001</v>
      </c>
      <c r="X790">
        <v>31161708</v>
      </c>
      <c r="Y790" s="8">
        <v>96.623570000000001</v>
      </c>
      <c r="Z790">
        <v>31161708</v>
      </c>
      <c r="AA790" s="8">
        <v>96.623570000000001</v>
      </c>
      <c r="AB790" t="b">
        <f t="shared" si="12"/>
        <v>0</v>
      </c>
    </row>
    <row r="791" spans="1:28" x14ac:dyDescent="0.3">
      <c r="A791">
        <v>897846</v>
      </c>
      <c r="B791" t="s">
        <v>2139</v>
      </c>
      <c r="C791" t="s">
        <v>2135</v>
      </c>
      <c r="X791">
        <v>39121700</v>
      </c>
      <c r="Y791" s="8">
        <v>78.950787000000005</v>
      </c>
      <c r="Z791">
        <v>39121700</v>
      </c>
      <c r="AA791" s="8">
        <v>78.950787000000005</v>
      </c>
      <c r="AB791" t="b">
        <f t="shared" si="12"/>
        <v>0</v>
      </c>
    </row>
    <row r="792" spans="1:28" x14ac:dyDescent="0.3">
      <c r="A792">
        <v>897847</v>
      </c>
      <c r="B792" t="s">
        <v>2172</v>
      </c>
      <c r="C792" t="s">
        <v>2137</v>
      </c>
      <c r="X792">
        <v>31161727</v>
      </c>
      <c r="Y792" s="8">
        <v>82.073599999999999</v>
      </c>
      <c r="Z792">
        <v>31161727</v>
      </c>
      <c r="AA792" s="8">
        <v>82.073599999999999</v>
      </c>
      <c r="AB792" t="b">
        <f t="shared" si="12"/>
        <v>0</v>
      </c>
    </row>
    <row r="793" spans="1:28" x14ac:dyDescent="0.3">
      <c r="A793">
        <v>897848</v>
      </c>
      <c r="B793" t="s">
        <v>2138</v>
      </c>
      <c r="C793" t="s">
        <v>2135</v>
      </c>
      <c r="X793">
        <v>39121700</v>
      </c>
      <c r="Y793" s="8">
        <v>64.340655999999996</v>
      </c>
      <c r="Z793">
        <v>39121700</v>
      </c>
      <c r="AA793" s="8">
        <v>64.340655999999996</v>
      </c>
      <c r="AB793" t="b">
        <f t="shared" si="12"/>
        <v>0</v>
      </c>
    </row>
    <row r="794" spans="1:28" x14ac:dyDescent="0.3">
      <c r="A794">
        <v>897849</v>
      </c>
      <c r="B794" t="s">
        <v>2173</v>
      </c>
      <c r="C794" t="s">
        <v>1390</v>
      </c>
      <c r="D794" t="s">
        <v>2174</v>
      </c>
      <c r="E794" t="s">
        <v>2175</v>
      </c>
      <c r="O794" t="s">
        <v>38</v>
      </c>
      <c r="P794" t="s">
        <v>39</v>
      </c>
      <c r="Q794" t="s">
        <v>40</v>
      </c>
      <c r="T794" s="8">
        <v>60</v>
      </c>
      <c r="X794">
        <v>26121614</v>
      </c>
      <c r="Y794" s="9">
        <v>81.9440069999999</v>
      </c>
      <c r="Z794">
        <v>26121614</v>
      </c>
      <c r="AA794" s="9">
        <v>81.9440069999999</v>
      </c>
      <c r="AB794" t="b">
        <f t="shared" si="12"/>
        <v>0</v>
      </c>
    </row>
    <row r="795" spans="1:28" x14ac:dyDescent="0.3">
      <c r="A795">
        <v>897850</v>
      </c>
      <c r="B795" t="s">
        <v>2176</v>
      </c>
      <c r="C795" t="s">
        <v>2137</v>
      </c>
      <c r="X795">
        <v>31161807</v>
      </c>
      <c r="Y795" s="9">
        <v>80.4612639999999</v>
      </c>
      <c r="Z795">
        <v>31161807</v>
      </c>
      <c r="AA795" s="9">
        <v>80.4612639999999</v>
      </c>
      <c r="AB795" t="b">
        <f t="shared" si="12"/>
        <v>0</v>
      </c>
    </row>
    <row r="796" spans="1:28" x14ac:dyDescent="0.3">
      <c r="A796">
        <v>897851</v>
      </c>
      <c r="B796" t="s">
        <v>2177</v>
      </c>
      <c r="C796" t="s">
        <v>2167</v>
      </c>
      <c r="D796" t="s">
        <v>2178</v>
      </c>
      <c r="G796">
        <v>320596</v>
      </c>
      <c r="H796" t="s">
        <v>2178</v>
      </c>
      <c r="I796" t="s">
        <v>221</v>
      </c>
      <c r="J796" s="5">
        <v>751338041790</v>
      </c>
      <c r="K796">
        <v>31161700</v>
      </c>
      <c r="M796">
        <v>23224</v>
      </c>
      <c r="N796" t="s">
        <v>2179</v>
      </c>
      <c r="O796" t="s">
        <v>221</v>
      </c>
      <c r="Q796" t="s">
        <v>86</v>
      </c>
      <c r="R796" s="9">
        <v>0.79152377163103804</v>
      </c>
      <c r="S796" s="9">
        <v>87.076188581551904</v>
      </c>
      <c r="T796" s="9">
        <v>87.076188581551904</v>
      </c>
      <c r="U796" s="9">
        <v>83.3047543262077</v>
      </c>
      <c r="X796">
        <v>31161700</v>
      </c>
      <c r="Y796" s="8">
        <v>82.748850000000004</v>
      </c>
      <c r="Z796">
        <v>31161700</v>
      </c>
      <c r="AA796" s="8">
        <v>82.748850000000004</v>
      </c>
      <c r="AB796" t="b">
        <f t="shared" si="12"/>
        <v>0</v>
      </c>
    </row>
    <row r="797" spans="1:28" x14ac:dyDescent="0.3">
      <c r="A797">
        <v>897852</v>
      </c>
      <c r="B797" t="s">
        <v>2180</v>
      </c>
      <c r="C797" t="s">
        <v>2137</v>
      </c>
      <c r="X797">
        <v>31161801</v>
      </c>
      <c r="Y797" s="8">
        <v>64.937039999999996</v>
      </c>
      <c r="Z797">
        <v>31161801</v>
      </c>
      <c r="AA797" s="8">
        <v>64.937039999999996</v>
      </c>
      <c r="AB797" t="b">
        <f t="shared" si="12"/>
        <v>0</v>
      </c>
    </row>
    <row r="798" spans="1:28" x14ac:dyDescent="0.3">
      <c r="A798">
        <v>897853</v>
      </c>
      <c r="B798" t="s">
        <v>2181</v>
      </c>
      <c r="C798" t="s">
        <v>1841</v>
      </c>
      <c r="D798" t="s">
        <v>2182</v>
      </c>
      <c r="E798" t="s">
        <v>2183</v>
      </c>
      <c r="G798">
        <v>341257</v>
      </c>
      <c r="H798" t="s">
        <v>2184</v>
      </c>
      <c r="I798" t="s">
        <v>1845</v>
      </c>
      <c r="J798" s="5">
        <v>702316501126</v>
      </c>
      <c r="K798">
        <v>31162905</v>
      </c>
      <c r="L798" t="s">
        <v>2183</v>
      </c>
      <c r="M798">
        <v>265810</v>
      </c>
      <c r="N798" t="s">
        <v>2185</v>
      </c>
      <c r="O798" t="s">
        <v>1845</v>
      </c>
      <c r="Q798" t="s">
        <v>75</v>
      </c>
      <c r="R798" s="9">
        <v>0.96151759093456202</v>
      </c>
      <c r="S798" s="8">
        <v>100</v>
      </c>
      <c r="T798" s="9">
        <v>64.575879546728103</v>
      </c>
      <c r="U798" s="8">
        <v>100</v>
      </c>
      <c r="V798" t="s">
        <v>1845</v>
      </c>
      <c r="W798" s="8">
        <v>77.035488000000001</v>
      </c>
      <c r="X798">
        <v>31162905</v>
      </c>
      <c r="Y798" s="9">
        <v>96.294359999999998</v>
      </c>
      <c r="Z798">
        <v>31162905</v>
      </c>
      <c r="AA798" s="8">
        <v>96.294359999999998</v>
      </c>
      <c r="AB798" t="b">
        <f t="shared" si="12"/>
        <v>0</v>
      </c>
    </row>
    <row r="799" spans="1:28" x14ac:dyDescent="0.3">
      <c r="A799">
        <v>897854</v>
      </c>
      <c r="B799" t="s">
        <v>2157</v>
      </c>
      <c r="C799" t="s">
        <v>1841</v>
      </c>
      <c r="D799" t="s">
        <v>2158</v>
      </c>
      <c r="E799" t="s">
        <v>2159</v>
      </c>
      <c r="G799">
        <v>341260</v>
      </c>
      <c r="H799" t="s">
        <v>2160</v>
      </c>
      <c r="I799" t="s">
        <v>1845</v>
      </c>
      <c r="J799" s="5">
        <v>702316501416</v>
      </c>
      <c r="K799">
        <v>31161800</v>
      </c>
      <c r="L799" t="s">
        <v>2159</v>
      </c>
      <c r="M799">
        <v>265821</v>
      </c>
      <c r="N799" t="s">
        <v>2161</v>
      </c>
      <c r="O799" t="s">
        <v>1845</v>
      </c>
      <c r="Q799" t="s">
        <v>75</v>
      </c>
      <c r="R799" s="9">
        <v>0.84581358061716705</v>
      </c>
      <c r="S799" s="9">
        <v>94.7906790308583</v>
      </c>
      <c r="T799" s="9">
        <v>58.7906790308583</v>
      </c>
      <c r="U799" s="9">
        <v>93.162716123433398</v>
      </c>
      <c r="V799" t="s">
        <v>1845</v>
      </c>
      <c r="W799" s="8">
        <v>86.641109999999998</v>
      </c>
      <c r="X799">
        <v>31161812</v>
      </c>
      <c r="Y799" s="8">
        <v>86.520403999999999</v>
      </c>
      <c r="Z799">
        <v>31161812</v>
      </c>
      <c r="AA799" s="8">
        <v>86.520403999999999</v>
      </c>
      <c r="AB799" t="b">
        <f t="shared" si="12"/>
        <v>0</v>
      </c>
    </row>
    <row r="800" spans="1:28" x14ac:dyDescent="0.3">
      <c r="A800">
        <v>897855</v>
      </c>
      <c r="B800" t="s">
        <v>2186</v>
      </c>
      <c r="C800" t="s">
        <v>1841</v>
      </c>
      <c r="D800" t="s">
        <v>2187</v>
      </c>
      <c r="O800" t="s">
        <v>227</v>
      </c>
      <c r="P800" t="s">
        <v>223</v>
      </c>
      <c r="Q800" t="s">
        <v>40</v>
      </c>
      <c r="T800" s="8">
        <v>60</v>
      </c>
      <c r="X800">
        <v>31162906</v>
      </c>
      <c r="Y800" s="9">
        <v>57.78399975</v>
      </c>
      <c r="Z800">
        <v>31162906</v>
      </c>
      <c r="AA800" s="9">
        <v>57.78399975</v>
      </c>
      <c r="AB800" t="b">
        <f t="shared" si="12"/>
        <v>0</v>
      </c>
    </row>
    <row r="801" spans="1:28" x14ac:dyDescent="0.3">
      <c r="A801">
        <v>897856</v>
      </c>
      <c r="B801" t="s">
        <v>2188</v>
      </c>
      <c r="C801" t="s">
        <v>1841</v>
      </c>
      <c r="D801" t="s">
        <v>2189</v>
      </c>
      <c r="E801" t="s">
        <v>2190</v>
      </c>
      <c r="O801" t="s">
        <v>227</v>
      </c>
      <c r="P801" t="s">
        <v>223</v>
      </c>
      <c r="Q801" t="s">
        <v>40</v>
      </c>
      <c r="T801" s="8">
        <v>60</v>
      </c>
      <c r="AB801" t="b">
        <f t="shared" si="12"/>
        <v>0</v>
      </c>
    </row>
    <row r="802" spans="1:28" x14ac:dyDescent="0.3">
      <c r="A802">
        <v>897857</v>
      </c>
      <c r="B802" t="s">
        <v>2191</v>
      </c>
      <c r="C802" t="s">
        <v>2152</v>
      </c>
      <c r="D802" t="s">
        <v>2192</v>
      </c>
      <c r="X802">
        <v>30101800</v>
      </c>
      <c r="Y802" s="9">
        <v>48.657903599999997</v>
      </c>
      <c r="Z802">
        <v>30101800</v>
      </c>
      <c r="AA802" s="9">
        <v>48.657903599999997</v>
      </c>
      <c r="AB802" t="b">
        <f t="shared" si="12"/>
        <v>0</v>
      </c>
    </row>
    <row r="803" spans="1:28" ht="43.2" x14ac:dyDescent="0.3">
      <c r="A803">
        <v>897858</v>
      </c>
      <c r="B803" s="2" t="s">
        <v>2193</v>
      </c>
      <c r="C803" t="s">
        <v>2152</v>
      </c>
      <c r="D803" t="s">
        <v>2192</v>
      </c>
      <c r="F803">
        <v>8040945229</v>
      </c>
      <c r="X803">
        <v>31161807</v>
      </c>
      <c r="Y803" s="8">
        <v>60.002144999999999</v>
      </c>
      <c r="Z803">
        <v>31161807</v>
      </c>
      <c r="AA803" s="8">
        <v>60.002144999999999</v>
      </c>
      <c r="AB803" t="b">
        <f t="shared" si="12"/>
        <v>0</v>
      </c>
    </row>
    <row r="804" spans="1:28" x14ac:dyDescent="0.3">
      <c r="A804">
        <v>897859</v>
      </c>
      <c r="B804" t="s">
        <v>2194</v>
      </c>
      <c r="C804" t="s">
        <v>1841</v>
      </c>
      <c r="D804" t="s">
        <v>2195</v>
      </c>
      <c r="E804" t="s">
        <v>2196</v>
      </c>
      <c r="O804" t="s">
        <v>227</v>
      </c>
      <c r="P804" t="s">
        <v>223</v>
      </c>
      <c r="Q804" t="s">
        <v>40</v>
      </c>
      <c r="T804" s="8">
        <v>60</v>
      </c>
      <c r="X804">
        <v>31160000</v>
      </c>
      <c r="Y804" s="9">
        <v>76.580789999999993</v>
      </c>
      <c r="Z804">
        <v>31160000</v>
      </c>
      <c r="AA804" s="9">
        <v>76.580789999999993</v>
      </c>
      <c r="AB804" t="b">
        <f t="shared" si="12"/>
        <v>0</v>
      </c>
    </row>
    <row r="805" spans="1:28" x14ac:dyDescent="0.3">
      <c r="A805">
        <v>897860</v>
      </c>
      <c r="B805" t="s">
        <v>2186</v>
      </c>
      <c r="C805" t="s">
        <v>1841</v>
      </c>
      <c r="D805" t="s">
        <v>2187</v>
      </c>
      <c r="O805" t="s">
        <v>227</v>
      </c>
      <c r="P805" t="s">
        <v>223</v>
      </c>
      <c r="Q805" t="s">
        <v>40</v>
      </c>
      <c r="T805" s="8">
        <v>60</v>
      </c>
      <c r="X805">
        <v>31162906</v>
      </c>
      <c r="Y805" s="9">
        <v>57.78399975</v>
      </c>
      <c r="Z805">
        <v>31162906</v>
      </c>
      <c r="AA805" s="9">
        <v>57.78399975</v>
      </c>
      <c r="AB805" t="b">
        <f t="shared" si="12"/>
        <v>0</v>
      </c>
    </row>
    <row r="806" spans="1:28" x14ac:dyDescent="0.3">
      <c r="A806">
        <v>897861</v>
      </c>
      <c r="B806" t="s">
        <v>2197</v>
      </c>
      <c r="C806" t="s">
        <v>1841</v>
      </c>
      <c r="D806" t="s">
        <v>2198</v>
      </c>
      <c r="E806" t="s">
        <v>2199</v>
      </c>
      <c r="G806">
        <v>341259</v>
      </c>
      <c r="H806" t="s">
        <v>2200</v>
      </c>
      <c r="I806" t="s">
        <v>1845</v>
      </c>
      <c r="J806" s="5">
        <v>702316501256</v>
      </c>
      <c r="K806">
        <v>30102204</v>
      </c>
      <c r="L806" t="s">
        <v>2199</v>
      </c>
      <c r="M806">
        <v>265813</v>
      </c>
      <c r="N806" t="s">
        <v>2201</v>
      </c>
      <c r="O806" t="s">
        <v>1845</v>
      </c>
      <c r="Q806" t="s">
        <v>75</v>
      </c>
      <c r="R806" s="9">
        <v>0.98053097374209197</v>
      </c>
      <c r="S806" s="9">
        <v>91.526548687104594</v>
      </c>
      <c r="T806" s="9">
        <v>59.526548687104601</v>
      </c>
      <c r="U806" s="8">
        <v>100</v>
      </c>
      <c r="V806" t="s">
        <v>1845</v>
      </c>
      <c r="W806" s="9">
        <v>98.090279999999893</v>
      </c>
      <c r="X806">
        <v>30102204</v>
      </c>
      <c r="Y806" s="9">
        <v>98.090279999999893</v>
      </c>
      <c r="Z806">
        <v>30102204</v>
      </c>
      <c r="AA806" s="9">
        <v>98.090279999999893</v>
      </c>
      <c r="AB806" t="b">
        <f t="shared" si="12"/>
        <v>0</v>
      </c>
    </row>
    <row r="807" spans="1:28" x14ac:dyDescent="0.3">
      <c r="A807">
        <v>897862</v>
      </c>
      <c r="B807" t="s">
        <v>2202</v>
      </c>
      <c r="C807" t="s">
        <v>1841</v>
      </c>
      <c r="D807" t="s">
        <v>2203</v>
      </c>
      <c r="E807" t="s">
        <v>2204</v>
      </c>
      <c r="O807" t="s">
        <v>227</v>
      </c>
      <c r="P807" t="s">
        <v>223</v>
      </c>
      <c r="Q807" t="s">
        <v>40</v>
      </c>
      <c r="T807" s="8">
        <v>60</v>
      </c>
      <c r="X807">
        <v>30102204</v>
      </c>
      <c r="Y807" s="8">
        <v>60.849532500000002</v>
      </c>
      <c r="Z807">
        <v>30102204</v>
      </c>
      <c r="AA807" s="8">
        <v>60.849532500000002</v>
      </c>
      <c r="AB807" t="b">
        <f t="shared" si="12"/>
        <v>0</v>
      </c>
    </row>
    <row r="808" spans="1:28" x14ac:dyDescent="0.3">
      <c r="A808">
        <v>897863</v>
      </c>
      <c r="B808" t="s">
        <v>2205</v>
      </c>
      <c r="C808" t="s">
        <v>2167</v>
      </c>
      <c r="D808" t="s">
        <v>2206</v>
      </c>
      <c r="G808">
        <v>270508</v>
      </c>
      <c r="H808" t="s">
        <v>2206</v>
      </c>
      <c r="I808" t="s">
        <v>221</v>
      </c>
      <c r="J808" s="5">
        <v>785592123992</v>
      </c>
      <c r="K808">
        <v>31162900</v>
      </c>
      <c r="M808">
        <v>143115</v>
      </c>
      <c r="N808" t="s">
        <v>2207</v>
      </c>
      <c r="O808" t="s">
        <v>221</v>
      </c>
      <c r="Q808" t="s">
        <v>86</v>
      </c>
      <c r="R808" s="9">
        <v>0.80206101790445095</v>
      </c>
      <c r="S808" s="9">
        <v>87.603050895222495</v>
      </c>
      <c r="T808" s="9">
        <v>87.603050895222495</v>
      </c>
      <c r="U808" s="9">
        <v>85.412203580890306</v>
      </c>
      <c r="X808">
        <v>31162905</v>
      </c>
      <c r="Y808" s="8">
        <v>81.112309999999994</v>
      </c>
      <c r="Z808">
        <v>31162905</v>
      </c>
      <c r="AA808" s="8">
        <v>81.112309999999994</v>
      </c>
      <c r="AB808" t="b">
        <f t="shared" si="12"/>
        <v>0</v>
      </c>
    </row>
    <row r="809" spans="1:28" x14ac:dyDescent="0.3">
      <c r="A809">
        <v>897864</v>
      </c>
      <c r="B809" t="s">
        <v>2208</v>
      </c>
      <c r="C809" t="s">
        <v>2167</v>
      </c>
      <c r="D809" t="s">
        <v>2209</v>
      </c>
      <c r="G809">
        <v>268968</v>
      </c>
      <c r="H809" t="s">
        <v>2209</v>
      </c>
      <c r="I809" t="s">
        <v>221</v>
      </c>
      <c r="J809" s="5">
        <v>785592124005</v>
      </c>
      <c r="K809">
        <v>31162900</v>
      </c>
      <c r="M809">
        <v>143116</v>
      </c>
      <c r="N809" t="s">
        <v>2210</v>
      </c>
      <c r="O809" t="s">
        <v>221</v>
      </c>
      <c r="Q809" t="s">
        <v>86</v>
      </c>
      <c r="R809" s="9">
        <v>0.80211227855844802</v>
      </c>
      <c r="S809" s="9">
        <v>87.605613927922406</v>
      </c>
      <c r="T809" s="9">
        <v>87.605613927922406</v>
      </c>
      <c r="U809" s="9">
        <v>85.422455711689693</v>
      </c>
      <c r="X809">
        <v>31162905</v>
      </c>
      <c r="Y809" s="9">
        <v>80.630254999999906</v>
      </c>
      <c r="Z809">
        <v>31162905</v>
      </c>
      <c r="AA809" s="9">
        <v>80.630254999999906</v>
      </c>
      <c r="AB809" t="b">
        <f t="shared" si="12"/>
        <v>0</v>
      </c>
    </row>
    <row r="810" spans="1:28" x14ac:dyDescent="0.3">
      <c r="A810">
        <v>897865</v>
      </c>
      <c r="B810" t="s">
        <v>2211</v>
      </c>
      <c r="C810" t="s">
        <v>1827</v>
      </c>
      <c r="D810">
        <v>953</v>
      </c>
      <c r="E810" t="s">
        <v>2212</v>
      </c>
      <c r="V810" t="s">
        <v>1315</v>
      </c>
      <c r="W810" s="9">
        <v>85.216289999999901</v>
      </c>
      <c r="X810">
        <v>39131700</v>
      </c>
      <c r="Y810" s="9">
        <v>85.216289999999901</v>
      </c>
      <c r="Z810">
        <v>39131700</v>
      </c>
      <c r="AA810" s="9">
        <v>85.216289999999901</v>
      </c>
      <c r="AB810" t="b">
        <f t="shared" si="12"/>
        <v>0</v>
      </c>
    </row>
    <row r="811" spans="1:28" x14ac:dyDescent="0.3">
      <c r="A811">
        <v>897866</v>
      </c>
      <c r="B811" t="s">
        <v>2213</v>
      </c>
      <c r="C811" t="s">
        <v>1827</v>
      </c>
      <c r="D811">
        <v>954</v>
      </c>
      <c r="E811" t="s">
        <v>2214</v>
      </c>
      <c r="V811" t="s">
        <v>1315</v>
      </c>
      <c r="W811" s="9">
        <v>85.708295999999905</v>
      </c>
      <c r="X811">
        <v>39131700</v>
      </c>
      <c r="Y811" s="9">
        <v>85.708295999999905</v>
      </c>
      <c r="Z811">
        <v>39131700</v>
      </c>
      <c r="AA811" s="9">
        <v>85.708295999999905</v>
      </c>
      <c r="AB811" t="b">
        <f t="shared" si="12"/>
        <v>0</v>
      </c>
    </row>
    <row r="812" spans="1:28" x14ac:dyDescent="0.3">
      <c r="A812">
        <v>897867</v>
      </c>
      <c r="B812" t="s">
        <v>2215</v>
      </c>
      <c r="C812" t="s">
        <v>2135</v>
      </c>
      <c r="X812">
        <v>31161501</v>
      </c>
      <c r="Y812" s="9">
        <v>47.848523999999998</v>
      </c>
      <c r="Z812">
        <v>31161501</v>
      </c>
      <c r="AA812" s="9">
        <v>47.848523999999998</v>
      </c>
      <c r="AB812" t="b">
        <f t="shared" si="12"/>
        <v>0</v>
      </c>
    </row>
    <row r="813" spans="1:28" x14ac:dyDescent="0.3">
      <c r="A813">
        <v>897868</v>
      </c>
      <c r="B813" t="s">
        <v>2216</v>
      </c>
      <c r="C813" t="s">
        <v>2135</v>
      </c>
      <c r="D813" t="s">
        <v>2217</v>
      </c>
      <c r="X813">
        <v>39121613</v>
      </c>
      <c r="Y813" s="9">
        <v>46.7598839999999</v>
      </c>
      <c r="Z813">
        <v>39121613</v>
      </c>
      <c r="AA813" s="9">
        <v>46.7598839999999</v>
      </c>
      <c r="AB813" t="b">
        <f t="shared" si="12"/>
        <v>0</v>
      </c>
    </row>
    <row r="814" spans="1:28" x14ac:dyDescent="0.3">
      <c r="A814">
        <v>897869</v>
      </c>
      <c r="B814" t="s">
        <v>2218</v>
      </c>
      <c r="C814" t="s">
        <v>2135</v>
      </c>
      <c r="X814">
        <v>31161620</v>
      </c>
      <c r="Y814" s="8">
        <v>78.265225999999998</v>
      </c>
      <c r="Z814">
        <v>31161620</v>
      </c>
      <c r="AA814" s="8">
        <v>78.265225999999998</v>
      </c>
      <c r="AB814" t="b">
        <f t="shared" si="12"/>
        <v>0</v>
      </c>
    </row>
    <row r="815" spans="1:28" x14ac:dyDescent="0.3">
      <c r="A815">
        <v>897870</v>
      </c>
      <c r="B815" t="s">
        <v>2219</v>
      </c>
      <c r="C815" t="s">
        <v>2135</v>
      </c>
      <c r="X815">
        <v>31161501</v>
      </c>
      <c r="Y815" s="9">
        <v>58.728944999999896</v>
      </c>
      <c r="Z815">
        <v>31161501</v>
      </c>
      <c r="AA815" s="9">
        <v>58.728944999999896</v>
      </c>
      <c r="AB815" t="b">
        <f t="shared" si="12"/>
        <v>0</v>
      </c>
    </row>
    <row r="816" spans="1:28" x14ac:dyDescent="0.3">
      <c r="A816">
        <v>897871</v>
      </c>
      <c r="B816" t="s">
        <v>2220</v>
      </c>
      <c r="C816" t="s">
        <v>2137</v>
      </c>
      <c r="X816">
        <v>31161727</v>
      </c>
      <c r="Y816" s="8">
        <v>79.775490000000005</v>
      </c>
      <c r="Z816">
        <v>31161727</v>
      </c>
      <c r="AA816" s="8">
        <v>79.775490000000005</v>
      </c>
      <c r="AB816" t="b">
        <f t="shared" si="12"/>
        <v>0</v>
      </c>
    </row>
    <row r="817" spans="1:28" x14ac:dyDescent="0.3">
      <c r="A817">
        <v>897872</v>
      </c>
      <c r="B817" t="s">
        <v>2134</v>
      </c>
      <c r="C817" t="s">
        <v>2135</v>
      </c>
      <c r="AB817" t="b">
        <f t="shared" si="12"/>
        <v>0</v>
      </c>
    </row>
    <row r="818" spans="1:28" x14ac:dyDescent="0.3">
      <c r="A818">
        <v>897873</v>
      </c>
      <c r="B818" t="s">
        <v>2149</v>
      </c>
      <c r="C818" t="s">
        <v>2135</v>
      </c>
      <c r="X818">
        <v>31161801</v>
      </c>
      <c r="Y818" s="8">
        <v>64.8539064</v>
      </c>
      <c r="Z818">
        <v>31161801</v>
      </c>
      <c r="AA818" s="8">
        <v>64.8539064</v>
      </c>
      <c r="AB818" t="b">
        <f t="shared" si="12"/>
        <v>0</v>
      </c>
    </row>
    <row r="819" spans="1:28" x14ac:dyDescent="0.3">
      <c r="A819">
        <v>897874</v>
      </c>
      <c r="B819" t="s">
        <v>2221</v>
      </c>
      <c r="C819" t="s">
        <v>1841</v>
      </c>
      <c r="D819" t="s">
        <v>2222</v>
      </c>
      <c r="E819" t="s">
        <v>2223</v>
      </c>
      <c r="O819" t="s">
        <v>227</v>
      </c>
      <c r="P819" t="s">
        <v>223</v>
      </c>
      <c r="Q819" t="s">
        <v>40</v>
      </c>
      <c r="T819" s="8">
        <v>60</v>
      </c>
      <c r="X819">
        <v>31162906</v>
      </c>
      <c r="Y819" s="8">
        <v>77.859470000000002</v>
      </c>
      <c r="Z819">
        <v>31162906</v>
      </c>
      <c r="AA819" s="8">
        <v>77.865076000000002</v>
      </c>
      <c r="AB819" t="b">
        <f t="shared" si="12"/>
        <v>0</v>
      </c>
    </row>
    <row r="820" spans="1:28" x14ac:dyDescent="0.3">
      <c r="A820">
        <v>897875</v>
      </c>
      <c r="B820" t="s">
        <v>2224</v>
      </c>
      <c r="C820" t="s">
        <v>1841</v>
      </c>
      <c r="D820" t="s">
        <v>2225</v>
      </c>
      <c r="E820" t="s">
        <v>2226</v>
      </c>
      <c r="O820" t="s">
        <v>45</v>
      </c>
      <c r="P820" t="s">
        <v>42</v>
      </c>
      <c r="Q820" t="s">
        <v>51</v>
      </c>
      <c r="T820" s="8">
        <v>50</v>
      </c>
      <c r="X820">
        <v>39121700</v>
      </c>
      <c r="Y820" s="8">
        <v>78.808710000000005</v>
      </c>
      <c r="Z820">
        <v>39121700</v>
      </c>
      <c r="AA820" s="8">
        <v>78.808710000000005</v>
      </c>
      <c r="AB820" t="b">
        <f t="shared" si="12"/>
        <v>0</v>
      </c>
    </row>
    <row r="821" spans="1:28" x14ac:dyDescent="0.3">
      <c r="A821">
        <v>897876</v>
      </c>
      <c r="B821" t="s">
        <v>2227</v>
      </c>
      <c r="C821" t="s">
        <v>1841</v>
      </c>
      <c r="D821" t="s">
        <v>2228</v>
      </c>
      <c r="E821" t="s">
        <v>2229</v>
      </c>
      <c r="O821" t="s">
        <v>227</v>
      </c>
      <c r="P821" t="s">
        <v>223</v>
      </c>
      <c r="Q821" t="s">
        <v>40</v>
      </c>
      <c r="T821" s="8">
        <v>60</v>
      </c>
      <c r="X821">
        <v>31162906</v>
      </c>
      <c r="Y821" s="8">
        <v>76.885855000000006</v>
      </c>
      <c r="Z821">
        <v>31162906</v>
      </c>
      <c r="AA821" s="9">
        <v>76.882242999999903</v>
      </c>
      <c r="AB821" t="b">
        <f t="shared" si="12"/>
        <v>0</v>
      </c>
    </row>
    <row r="822" spans="1:28" x14ac:dyDescent="0.3">
      <c r="A822">
        <v>897877</v>
      </c>
      <c r="B822" t="s">
        <v>2230</v>
      </c>
      <c r="C822" t="s">
        <v>1841</v>
      </c>
      <c r="D822" t="s">
        <v>2231</v>
      </c>
      <c r="E822" t="s">
        <v>2232</v>
      </c>
      <c r="O822" t="s">
        <v>45</v>
      </c>
      <c r="P822" t="s">
        <v>42</v>
      </c>
      <c r="Q822" t="s">
        <v>51</v>
      </c>
      <c r="T822" s="8">
        <v>50</v>
      </c>
      <c r="X822">
        <v>39121700</v>
      </c>
      <c r="Y822" s="9">
        <v>63.302279999999897</v>
      </c>
      <c r="Z822">
        <v>39121700</v>
      </c>
      <c r="AA822" s="9">
        <v>63.290887999999903</v>
      </c>
      <c r="AB822" t="b">
        <f t="shared" si="12"/>
        <v>0</v>
      </c>
    </row>
    <row r="823" spans="1:28" x14ac:dyDescent="0.3">
      <c r="A823">
        <v>897878</v>
      </c>
      <c r="B823" t="s">
        <v>1905</v>
      </c>
      <c r="C823" t="s">
        <v>1841</v>
      </c>
      <c r="D823" t="s">
        <v>1906</v>
      </c>
      <c r="E823" t="s">
        <v>1907</v>
      </c>
      <c r="O823" t="s">
        <v>227</v>
      </c>
      <c r="P823" t="s">
        <v>223</v>
      </c>
      <c r="Q823" t="s">
        <v>40</v>
      </c>
      <c r="T823" s="8">
        <v>60</v>
      </c>
      <c r="V823" t="s">
        <v>1845</v>
      </c>
      <c r="W823" s="8">
        <v>94.512635000000003</v>
      </c>
      <c r="X823">
        <v>31162906</v>
      </c>
      <c r="Y823" s="8">
        <v>94.512635000000003</v>
      </c>
      <c r="Z823">
        <v>31162906</v>
      </c>
      <c r="AA823" s="8">
        <v>94.003707500000004</v>
      </c>
      <c r="AB823" t="b">
        <f t="shared" si="12"/>
        <v>0</v>
      </c>
    </row>
    <row r="824" spans="1:28" x14ac:dyDescent="0.3">
      <c r="A824">
        <v>897879</v>
      </c>
      <c r="B824" t="s">
        <v>2233</v>
      </c>
      <c r="C824" t="s">
        <v>2234</v>
      </c>
      <c r="D824" t="s">
        <v>2235</v>
      </c>
      <c r="O824" t="s">
        <v>2234</v>
      </c>
      <c r="P824" t="s">
        <v>2234</v>
      </c>
      <c r="Q824" t="s">
        <v>40</v>
      </c>
      <c r="T824" s="8">
        <v>70</v>
      </c>
      <c r="X824">
        <v>27113100</v>
      </c>
      <c r="Y824" s="8">
        <v>80.095464000000007</v>
      </c>
      <c r="Z824">
        <v>27113100</v>
      </c>
      <c r="AA824" s="8">
        <v>80.095464000000007</v>
      </c>
      <c r="AB824" t="b">
        <f t="shared" si="12"/>
        <v>0</v>
      </c>
    </row>
    <row r="825" spans="1:28" x14ac:dyDescent="0.3">
      <c r="A825">
        <v>897880</v>
      </c>
      <c r="B825" t="s">
        <v>2236</v>
      </c>
      <c r="C825" t="s">
        <v>2137</v>
      </c>
      <c r="X825">
        <v>31161620</v>
      </c>
      <c r="Y825" s="9">
        <v>59.499614999999999</v>
      </c>
      <c r="Z825">
        <v>31161620</v>
      </c>
      <c r="AA825" s="9">
        <v>59.499614999999999</v>
      </c>
      <c r="AB825" t="b">
        <f t="shared" si="12"/>
        <v>0</v>
      </c>
    </row>
    <row r="826" spans="1:28" x14ac:dyDescent="0.3">
      <c r="A826">
        <v>897881</v>
      </c>
      <c r="B826" t="s">
        <v>2237</v>
      </c>
      <c r="C826" t="s">
        <v>2137</v>
      </c>
      <c r="X826">
        <v>31161501</v>
      </c>
      <c r="Y826" s="8">
        <v>59.900200499999997</v>
      </c>
      <c r="Z826">
        <v>31161501</v>
      </c>
      <c r="AA826" s="8">
        <v>59.902779750000001</v>
      </c>
      <c r="AB826" t="b">
        <f t="shared" si="12"/>
        <v>0</v>
      </c>
    </row>
    <row r="827" spans="1:28" x14ac:dyDescent="0.3">
      <c r="A827">
        <v>897882</v>
      </c>
      <c r="B827" t="s">
        <v>2238</v>
      </c>
      <c r="C827" t="s">
        <v>2137</v>
      </c>
      <c r="X827">
        <v>31161620</v>
      </c>
      <c r="Y827" s="8">
        <v>60.042947249999997</v>
      </c>
      <c r="Z827">
        <v>31161620</v>
      </c>
      <c r="AA827" s="8">
        <v>60.042947249999997</v>
      </c>
      <c r="AB827" t="b">
        <f t="shared" si="12"/>
        <v>0</v>
      </c>
    </row>
    <row r="828" spans="1:28" x14ac:dyDescent="0.3">
      <c r="A828">
        <v>897883</v>
      </c>
      <c r="B828" t="s">
        <v>2239</v>
      </c>
      <c r="C828" t="s">
        <v>2137</v>
      </c>
      <c r="X828">
        <v>31161727</v>
      </c>
      <c r="Y828" s="8">
        <v>82.001540000000006</v>
      </c>
      <c r="Z828">
        <v>31161727</v>
      </c>
      <c r="AA828" s="8">
        <v>82.001540000000006</v>
      </c>
      <c r="AB828" t="b">
        <f t="shared" si="12"/>
        <v>0</v>
      </c>
    </row>
    <row r="829" spans="1:28" x14ac:dyDescent="0.3">
      <c r="A829">
        <v>897884</v>
      </c>
      <c r="B829" t="s">
        <v>2240</v>
      </c>
      <c r="C829" t="s">
        <v>2137</v>
      </c>
      <c r="X829">
        <v>31161807</v>
      </c>
      <c r="Y829" s="9">
        <v>79.931259999999995</v>
      </c>
      <c r="Z829">
        <v>31161807</v>
      </c>
      <c r="AA829" s="9">
        <v>79.931259999999995</v>
      </c>
      <c r="AB829" t="b">
        <f t="shared" si="12"/>
        <v>0</v>
      </c>
    </row>
    <row r="830" spans="1:28" x14ac:dyDescent="0.3">
      <c r="A830">
        <v>897885</v>
      </c>
      <c r="B830" t="s">
        <v>2241</v>
      </c>
      <c r="C830" t="s">
        <v>2137</v>
      </c>
      <c r="X830">
        <v>31161801</v>
      </c>
      <c r="Y830" s="9">
        <v>48.823017</v>
      </c>
      <c r="Z830">
        <v>31161801</v>
      </c>
      <c r="AA830" s="9">
        <v>48.809399999999997</v>
      </c>
      <c r="AB830" t="b">
        <f t="shared" si="12"/>
        <v>0</v>
      </c>
    </row>
    <row r="831" spans="1:28" x14ac:dyDescent="0.3">
      <c r="A831">
        <v>897886</v>
      </c>
      <c r="B831" t="s">
        <v>2166</v>
      </c>
      <c r="C831" t="s">
        <v>2167</v>
      </c>
      <c r="X831">
        <v>31161812</v>
      </c>
      <c r="Y831" s="8">
        <v>81.046533999999994</v>
      </c>
      <c r="Z831">
        <v>31161812</v>
      </c>
      <c r="AA831" s="8">
        <v>81.046533999999994</v>
      </c>
      <c r="AB831" t="b">
        <f t="shared" si="12"/>
        <v>0</v>
      </c>
    </row>
    <row r="832" spans="1:28" x14ac:dyDescent="0.3">
      <c r="A832">
        <v>897887</v>
      </c>
      <c r="B832" t="s">
        <v>2168</v>
      </c>
      <c r="C832" t="s">
        <v>1054</v>
      </c>
      <c r="D832" t="s">
        <v>2169</v>
      </c>
      <c r="E832" t="s">
        <v>2170</v>
      </c>
      <c r="G832">
        <v>337244</v>
      </c>
      <c r="H832" t="s">
        <v>2169</v>
      </c>
      <c r="I832" t="s">
        <v>104</v>
      </c>
      <c r="J832" s="5">
        <v>781011403737</v>
      </c>
      <c r="K832">
        <v>31161708</v>
      </c>
      <c r="L832" t="s">
        <v>2170</v>
      </c>
      <c r="M832">
        <v>253355</v>
      </c>
      <c r="N832" t="s">
        <v>2171</v>
      </c>
      <c r="O832" t="s">
        <v>48</v>
      </c>
      <c r="Q832" t="s">
        <v>86</v>
      </c>
      <c r="R832" s="9">
        <v>0.96505571213670904</v>
      </c>
      <c r="S832" s="9">
        <v>90.752785606835403</v>
      </c>
      <c r="T832" s="9">
        <v>92.752785606835403</v>
      </c>
      <c r="U832" s="8">
        <v>100</v>
      </c>
      <c r="V832" t="s">
        <v>104</v>
      </c>
      <c r="W832" s="8">
        <v>96.623570000000001</v>
      </c>
      <c r="X832">
        <v>31161708</v>
      </c>
      <c r="Y832" s="8">
        <v>96.623570000000001</v>
      </c>
      <c r="Z832">
        <v>31161708</v>
      </c>
      <c r="AA832" s="8">
        <v>96.623570000000001</v>
      </c>
      <c r="AB832" t="b">
        <f t="shared" si="12"/>
        <v>0</v>
      </c>
    </row>
    <row r="833" spans="1:28" x14ac:dyDescent="0.3">
      <c r="A833">
        <v>897888</v>
      </c>
      <c r="B833" t="s">
        <v>2242</v>
      </c>
      <c r="C833" t="s">
        <v>2137</v>
      </c>
      <c r="X833">
        <v>39131705</v>
      </c>
      <c r="Y833" s="8">
        <v>79.189490000000006</v>
      </c>
      <c r="Z833">
        <v>39131705</v>
      </c>
      <c r="AA833" s="8">
        <v>79.189490000000006</v>
      </c>
      <c r="AB833" t="b">
        <f t="shared" si="12"/>
        <v>0</v>
      </c>
    </row>
    <row r="834" spans="1:28" x14ac:dyDescent="0.3">
      <c r="A834">
        <v>897889</v>
      </c>
      <c r="B834" t="s">
        <v>2243</v>
      </c>
      <c r="C834" t="s">
        <v>2167</v>
      </c>
      <c r="D834" t="s">
        <v>2244</v>
      </c>
      <c r="G834">
        <v>322176</v>
      </c>
      <c r="H834" t="s">
        <v>2244</v>
      </c>
      <c r="I834" t="s">
        <v>221</v>
      </c>
      <c r="J834" s="5">
        <v>751338041714</v>
      </c>
      <c r="K834">
        <v>31162905</v>
      </c>
      <c r="M834">
        <v>219555</v>
      </c>
      <c r="N834" t="s">
        <v>2245</v>
      </c>
      <c r="O834" t="s">
        <v>221</v>
      </c>
      <c r="Q834" t="s">
        <v>86</v>
      </c>
      <c r="R834" s="8">
        <v>0.83278353358350798</v>
      </c>
      <c r="S834" s="8">
        <v>100</v>
      </c>
      <c r="T834" s="9">
        <v>98.139176679175307</v>
      </c>
      <c r="U834" s="8">
        <v>100</v>
      </c>
      <c r="X834">
        <v>31162905</v>
      </c>
      <c r="Y834" s="8">
        <v>85.673919999999995</v>
      </c>
      <c r="Z834">
        <v>31162905</v>
      </c>
      <c r="AA834" s="8">
        <v>85.677379999999999</v>
      </c>
      <c r="AB834" t="b">
        <f t="shared" si="12"/>
        <v>0</v>
      </c>
    </row>
    <row r="835" spans="1:28" x14ac:dyDescent="0.3">
      <c r="A835">
        <v>897890</v>
      </c>
      <c r="B835" t="s">
        <v>2165</v>
      </c>
      <c r="C835" t="s">
        <v>2135</v>
      </c>
      <c r="X835">
        <v>39121700</v>
      </c>
      <c r="Y835" s="9">
        <v>80.117922999999905</v>
      </c>
      <c r="Z835">
        <v>39121700</v>
      </c>
      <c r="AA835" s="9">
        <v>80.117922999999905</v>
      </c>
      <c r="AB835" t="b">
        <f t="shared" ref="AB835:AB898" si="13">(AA835-Y835)&lt;-1</f>
        <v>0</v>
      </c>
    </row>
    <row r="836" spans="1:28" x14ac:dyDescent="0.3">
      <c r="A836">
        <v>897891</v>
      </c>
      <c r="B836" t="s">
        <v>2246</v>
      </c>
      <c r="C836" t="s">
        <v>1587</v>
      </c>
      <c r="D836" t="s">
        <v>2247</v>
      </c>
      <c r="E836" t="s">
        <v>2248</v>
      </c>
      <c r="O836" t="s">
        <v>45</v>
      </c>
      <c r="P836" t="s">
        <v>154</v>
      </c>
      <c r="Q836" t="s">
        <v>40</v>
      </c>
      <c r="T836" s="8">
        <v>60</v>
      </c>
      <c r="X836">
        <v>39131700</v>
      </c>
      <c r="Y836" s="8">
        <v>46.019625599999998</v>
      </c>
      <c r="Z836">
        <v>39131700</v>
      </c>
      <c r="AA836" s="8">
        <v>46.019625599999998</v>
      </c>
      <c r="AB836" t="b">
        <f t="shared" si="13"/>
        <v>0</v>
      </c>
    </row>
    <row r="837" spans="1:28" x14ac:dyDescent="0.3">
      <c r="A837">
        <v>897892</v>
      </c>
      <c r="B837" t="s">
        <v>2139</v>
      </c>
      <c r="C837" t="s">
        <v>2135</v>
      </c>
      <c r="X837">
        <v>39121700</v>
      </c>
      <c r="Y837" s="8">
        <v>78.9679</v>
      </c>
      <c r="Z837">
        <v>39121700</v>
      </c>
      <c r="AA837" s="8">
        <v>78.945863000000003</v>
      </c>
      <c r="AB837" t="b">
        <f t="shared" si="13"/>
        <v>0</v>
      </c>
    </row>
    <row r="838" spans="1:28" x14ac:dyDescent="0.3">
      <c r="A838">
        <v>897893</v>
      </c>
      <c r="B838" t="s">
        <v>2138</v>
      </c>
      <c r="C838" t="s">
        <v>2135</v>
      </c>
      <c r="X838">
        <v>39121700</v>
      </c>
      <c r="Y838" s="8">
        <v>64.340655999999996</v>
      </c>
      <c r="Z838">
        <v>39121700</v>
      </c>
      <c r="AA838" s="8">
        <v>64.340655999999996</v>
      </c>
      <c r="AB838" t="b">
        <f t="shared" si="13"/>
        <v>0</v>
      </c>
    </row>
    <row r="839" spans="1:28" x14ac:dyDescent="0.3">
      <c r="A839">
        <v>897894</v>
      </c>
      <c r="B839" t="s">
        <v>2249</v>
      </c>
      <c r="C839" t="s">
        <v>2135</v>
      </c>
      <c r="X839">
        <v>31161823</v>
      </c>
      <c r="Y839" s="8">
        <v>82.043385999999998</v>
      </c>
      <c r="Z839">
        <v>31161823</v>
      </c>
      <c r="AA839" s="8">
        <v>82.043385999999998</v>
      </c>
      <c r="AB839" t="b">
        <f t="shared" si="13"/>
        <v>0</v>
      </c>
    </row>
    <row r="840" spans="1:28" x14ac:dyDescent="0.3">
      <c r="A840">
        <v>897895</v>
      </c>
      <c r="B840" t="s">
        <v>2250</v>
      </c>
      <c r="C840" t="s">
        <v>1841</v>
      </c>
      <c r="D840" t="s">
        <v>2251</v>
      </c>
      <c r="E840" t="s">
        <v>2252</v>
      </c>
      <c r="O840" t="s">
        <v>227</v>
      </c>
      <c r="P840" t="s">
        <v>223</v>
      </c>
      <c r="Q840" t="s">
        <v>40</v>
      </c>
      <c r="T840" s="8">
        <v>60</v>
      </c>
      <c r="V840" t="s">
        <v>1845</v>
      </c>
      <c r="W840" s="9">
        <v>94.836189999999903</v>
      </c>
      <c r="X840">
        <v>31162906</v>
      </c>
      <c r="Y840" s="9">
        <v>94.836189999999903</v>
      </c>
      <c r="Z840">
        <v>31162906</v>
      </c>
      <c r="AA840" s="8">
        <v>94.232417499999997</v>
      </c>
      <c r="AB840" t="b">
        <f t="shared" si="13"/>
        <v>0</v>
      </c>
    </row>
    <row r="841" spans="1:28" x14ac:dyDescent="0.3">
      <c r="A841">
        <v>897896</v>
      </c>
      <c r="B841" t="s">
        <v>2177</v>
      </c>
      <c r="C841" t="s">
        <v>2167</v>
      </c>
      <c r="D841" t="s">
        <v>2178</v>
      </c>
      <c r="G841">
        <v>320596</v>
      </c>
      <c r="H841" t="s">
        <v>2178</v>
      </c>
      <c r="I841" t="s">
        <v>221</v>
      </c>
      <c r="J841" s="5">
        <v>751338041790</v>
      </c>
      <c r="K841">
        <v>31161700</v>
      </c>
      <c r="M841">
        <v>23224</v>
      </c>
      <c r="N841" t="s">
        <v>2179</v>
      </c>
      <c r="O841" t="s">
        <v>221</v>
      </c>
      <c r="Q841" t="s">
        <v>86</v>
      </c>
      <c r="R841" s="9">
        <v>0.79152377163103804</v>
      </c>
      <c r="S841" s="9">
        <v>87.076188581551904</v>
      </c>
      <c r="T841" s="9">
        <v>87.076188581551904</v>
      </c>
      <c r="U841" s="9">
        <v>83.3047543262077</v>
      </c>
      <c r="X841">
        <v>31161700</v>
      </c>
      <c r="Y841" s="8">
        <v>82.748850000000004</v>
      </c>
      <c r="Z841">
        <v>31161700</v>
      </c>
      <c r="AA841" s="8">
        <v>82.748850000000004</v>
      </c>
      <c r="AB841" t="b">
        <f t="shared" si="13"/>
        <v>0</v>
      </c>
    </row>
    <row r="842" spans="1:28" x14ac:dyDescent="0.3">
      <c r="A842">
        <v>897897</v>
      </c>
      <c r="B842" t="s">
        <v>2253</v>
      </c>
      <c r="C842" t="s">
        <v>2135</v>
      </c>
      <c r="D842">
        <v>27021</v>
      </c>
      <c r="O842" t="s">
        <v>2254</v>
      </c>
      <c r="P842" t="s">
        <v>2254</v>
      </c>
      <c r="Q842" t="s">
        <v>40</v>
      </c>
      <c r="T842" s="8">
        <v>95</v>
      </c>
      <c r="X842">
        <v>27112814</v>
      </c>
      <c r="Y842" s="8">
        <v>76.687449999999998</v>
      </c>
      <c r="Z842">
        <v>27112814</v>
      </c>
      <c r="AA842" s="8">
        <v>76.687449999999998</v>
      </c>
      <c r="AB842" t="b">
        <f t="shared" si="13"/>
        <v>0</v>
      </c>
    </row>
    <row r="843" spans="1:28" x14ac:dyDescent="0.3">
      <c r="A843">
        <v>897898</v>
      </c>
      <c r="B843" t="s">
        <v>2154</v>
      </c>
      <c r="C843" t="s">
        <v>2135</v>
      </c>
      <c r="X843">
        <v>39120000</v>
      </c>
      <c r="Y843" s="8">
        <v>47.5711656</v>
      </c>
      <c r="Z843">
        <v>39120000</v>
      </c>
      <c r="AA843" s="8">
        <v>47.5711656</v>
      </c>
      <c r="AB843" t="b">
        <f t="shared" si="13"/>
        <v>0</v>
      </c>
    </row>
    <row r="844" spans="1:28" x14ac:dyDescent="0.3">
      <c r="A844">
        <v>897899</v>
      </c>
      <c r="B844" t="s">
        <v>2157</v>
      </c>
      <c r="C844" t="s">
        <v>1841</v>
      </c>
      <c r="D844" t="s">
        <v>2158</v>
      </c>
      <c r="E844" t="s">
        <v>2159</v>
      </c>
      <c r="G844">
        <v>341260</v>
      </c>
      <c r="H844" t="s">
        <v>2160</v>
      </c>
      <c r="I844" t="s">
        <v>1845</v>
      </c>
      <c r="J844" s="5">
        <v>702316501416</v>
      </c>
      <c r="K844">
        <v>31161800</v>
      </c>
      <c r="L844" t="s">
        <v>2159</v>
      </c>
      <c r="M844">
        <v>265821</v>
      </c>
      <c r="N844" t="s">
        <v>2161</v>
      </c>
      <c r="O844" t="s">
        <v>1845</v>
      </c>
      <c r="Q844" t="s">
        <v>75</v>
      </c>
      <c r="R844" s="9">
        <v>0.84581358061716705</v>
      </c>
      <c r="S844" s="9">
        <v>94.7906790308583</v>
      </c>
      <c r="T844" s="9">
        <v>58.7906790308583</v>
      </c>
      <c r="U844" s="9">
        <v>93.162716123433398</v>
      </c>
      <c r="V844" t="s">
        <v>1845</v>
      </c>
      <c r="W844" s="8">
        <v>86.641109999999998</v>
      </c>
      <c r="X844">
        <v>31161812</v>
      </c>
      <c r="Y844" s="8">
        <v>86.520403999999999</v>
      </c>
      <c r="Z844">
        <v>31161812</v>
      </c>
      <c r="AA844" s="9">
        <v>86.521649999999994</v>
      </c>
      <c r="AB844" t="b">
        <f t="shared" si="13"/>
        <v>0</v>
      </c>
    </row>
    <row r="845" spans="1:28" x14ac:dyDescent="0.3">
      <c r="A845">
        <v>897900</v>
      </c>
      <c r="B845" t="s">
        <v>2191</v>
      </c>
      <c r="C845" t="s">
        <v>2152</v>
      </c>
      <c r="D845" t="s">
        <v>2192</v>
      </c>
      <c r="X845">
        <v>30101800</v>
      </c>
      <c r="Y845" s="9">
        <v>48.657903599999997</v>
      </c>
      <c r="Z845">
        <v>30101800</v>
      </c>
      <c r="AA845" s="9">
        <v>48.657903599999997</v>
      </c>
      <c r="AB845" t="b">
        <f t="shared" si="13"/>
        <v>0</v>
      </c>
    </row>
    <row r="846" spans="1:28" x14ac:dyDescent="0.3">
      <c r="A846">
        <v>897901</v>
      </c>
      <c r="B846" t="s">
        <v>2255</v>
      </c>
      <c r="C846" t="s">
        <v>2135</v>
      </c>
      <c r="X846">
        <v>27112800</v>
      </c>
      <c r="Y846" s="9">
        <v>59.7142274999999</v>
      </c>
      <c r="Z846">
        <v>27112800</v>
      </c>
      <c r="AA846" s="9">
        <v>59.7142274999999</v>
      </c>
      <c r="AB846" t="b">
        <f t="shared" si="13"/>
        <v>0</v>
      </c>
    </row>
    <row r="847" spans="1:28" x14ac:dyDescent="0.3">
      <c r="A847">
        <v>897902</v>
      </c>
      <c r="B847" t="s">
        <v>2256</v>
      </c>
      <c r="C847" t="s">
        <v>2257</v>
      </c>
      <c r="D847" t="s">
        <v>2258</v>
      </c>
      <c r="O847" t="s">
        <v>1320</v>
      </c>
      <c r="P847" t="s">
        <v>1321</v>
      </c>
      <c r="Q847" t="s">
        <v>40</v>
      </c>
      <c r="T847" s="8">
        <v>100</v>
      </c>
      <c r="X847">
        <v>30101804</v>
      </c>
      <c r="Y847" s="8">
        <v>76.015406999999996</v>
      </c>
      <c r="Z847">
        <v>30101804</v>
      </c>
      <c r="AA847" s="8">
        <v>76.015406999999996</v>
      </c>
      <c r="AB847" t="b">
        <f t="shared" si="13"/>
        <v>0</v>
      </c>
    </row>
    <row r="848" spans="1:28" x14ac:dyDescent="0.3">
      <c r="A848">
        <v>897903</v>
      </c>
      <c r="B848" t="s">
        <v>2194</v>
      </c>
      <c r="C848" t="s">
        <v>1841</v>
      </c>
      <c r="D848" t="s">
        <v>2195</v>
      </c>
      <c r="E848" t="s">
        <v>2196</v>
      </c>
      <c r="O848" t="s">
        <v>227</v>
      </c>
      <c r="P848" t="s">
        <v>223</v>
      </c>
      <c r="Q848" t="s">
        <v>40</v>
      </c>
      <c r="T848" s="8">
        <v>60</v>
      </c>
      <c r="X848">
        <v>31160000</v>
      </c>
      <c r="Y848" s="9">
        <v>76.580789999999993</v>
      </c>
      <c r="Z848">
        <v>31160000</v>
      </c>
      <c r="AA848" s="9">
        <v>76.580789999999993</v>
      </c>
      <c r="AB848" t="b">
        <f t="shared" si="13"/>
        <v>0</v>
      </c>
    </row>
    <row r="849" spans="1:28" x14ac:dyDescent="0.3">
      <c r="A849">
        <v>897904</v>
      </c>
      <c r="B849" t="s">
        <v>1129</v>
      </c>
      <c r="AB849" t="b">
        <f t="shared" si="13"/>
        <v>0</v>
      </c>
    </row>
    <row r="850" spans="1:28" x14ac:dyDescent="0.3">
      <c r="A850">
        <v>897905</v>
      </c>
      <c r="B850" t="s">
        <v>2186</v>
      </c>
      <c r="C850" t="s">
        <v>1841</v>
      </c>
      <c r="D850" t="s">
        <v>2187</v>
      </c>
      <c r="O850" t="s">
        <v>227</v>
      </c>
      <c r="P850" t="s">
        <v>223</v>
      </c>
      <c r="Q850" t="s">
        <v>40</v>
      </c>
      <c r="T850" s="8">
        <v>60</v>
      </c>
      <c r="X850">
        <v>31162906</v>
      </c>
      <c r="Y850" s="9">
        <v>57.78399975</v>
      </c>
      <c r="Z850">
        <v>31162906</v>
      </c>
      <c r="AA850" s="9">
        <v>57.78399975</v>
      </c>
      <c r="AB850" t="b">
        <f t="shared" si="13"/>
        <v>0</v>
      </c>
    </row>
    <row r="851" spans="1:28" x14ac:dyDescent="0.3">
      <c r="A851">
        <v>897906</v>
      </c>
      <c r="B851" t="s">
        <v>2259</v>
      </c>
      <c r="C851" t="s">
        <v>1587</v>
      </c>
      <c r="D851" t="s">
        <v>2260</v>
      </c>
      <c r="E851" t="s">
        <v>2261</v>
      </c>
      <c r="O851" t="s">
        <v>45</v>
      </c>
      <c r="P851" t="s">
        <v>154</v>
      </c>
      <c r="Q851" t="s">
        <v>40</v>
      </c>
      <c r="T851" s="8">
        <v>60</v>
      </c>
      <c r="X851">
        <v>39131717</v>
      </c>
      <c r="Y851" s="9">
        <v>76.782119999999907</v>
      </c>
      <c r="Z851">
        <v>39131717</v>
      </c>
      <c r="AA851" s="9">
        <v>76.782119999999907</v>
      </c>
      <c r="AB851" t="b">
        <f t="shared" si="13"/>
        <v>0</v>
      </c>
    </row>
    <row r="852" spans="1:28" x14ac:dyDescent="0.3">
      <c r="A852">
        <v>897907</v>
      </c>
      <c r="B852" t="s">
        <v>2262</v>
      </c>
      <c r="C852" t="s">
        <v>1587</v>
      </c>
      <c r="D852" t="s">
        <v>2263</v>
      </c>
      <c r="E852" t="s">
        <v>2264</v>
      </c>
      <c r="O852" t="s">
        <v>45</v>
      </c>
      <c r="P852" t="s">
        <v>154</v>
      </c>
      <c r="Q852" t="s">
        <v>40</v>
      </c>
      <c r="T852" s="8">
        <v>60</v>
      </c>
      <c r="X852">
        <v>39131700</v>
      </c>
      <c r="Y852" s="9">
        <v>79.998649999999998</v>
      </c>
      <c r="Z852">
        <v>39131700</v>
      </c>
      <c r="AA852" s="9">
        <v>79.998649999999998</v>
      </c>
      <c r="AB852" t="b">
        <f t="shared" si="13"/>
        <v>0</v>
      </c>
    </row>
    <row r="853" spans="1:28" x14ac:dyDescent="0.3">
      <c r="A853">
        <v>897908</v>
      </c>
      <c r="B853" t="s">
        <v>2197</v>
      </c>
      <c r="C853" t="s">
        <v>1841</v>
      </c>
      <c r="D853" t="s">
        <v>2198</v>
      </c>
      <c r="E853" t="s">
        <v>2199</v>
      </c>
      <c r="G853">
        <v>341259</v>
      </c>
      <c r="H853" t="s">
        <v>2200</v>
      </c>
      <c r="I853" t="s">
        <v>1845</v>
      </c>
      <c r="J853" s="5">
        <v>702316501256</v>
      </c>
      <c r="K853">
        <v>30102204</v>
      </c>
      <c r="L853" t="s">
        <v>2199</v>
      </c>
      <c r="M853">
        <v>265813</v>
      </c>
      <c r="N853" t="s">
        <v>2201</v>
      </c>
      <c r="O853" t="s">
        <v>1845</v>
      </c>
      <c r="Q853" t="s">
        <v>75</v>
      </c>
      <c r="R853" s="9">
        <v>0.98053097374209197</v>
      </c>
      <c r="S853" s="9">
        <v>91.526548687104594</v>
      </c>
      <c r="T853" s="9">
        <v>59.526548687104601</v>
      </c>
      <c r="U853" s="8">
        <v>100</v>
      </c>
      <c r="V853" t="s">
        <v>1845</v>
      </c>
      <c r="W853" s="9">
        <v>98.090279999999893</v>
      </c>
      <c r="X853">
        <v>30102204</v>
      </c>
      <c r="Y853" s="9">
        <v>98.090279999999893</v>
      </c>
      <c r="Z853">
        <v>30102204</v>
      </c>
      <c r="AA853" s="9">
        <v>98.090279999999893</v>
      </c>
      <c r="AB853" t="b">
        <f t="shared" si="13"/>
        <v>0</v>
      </c>
    </row>
    <row r="854" spans="1:28" x14ac:dyDescent="0.3">
      <c r="A854">
        <v>897909</v>
      </c>
      <c r="B854" t="s">
        <v>2202</v>
      </c>
      <c r="C854" t="s">
        <v>1841</v>
      </c>
      <c r="D854" t="s">
        <v>2203</v>
      </c>
      <c r="E854" t="s">
        <v>2204</v>
      </c>
      <c r="O854" t="s">
        <v>227</v>
      </c>
      <c r="P854" t="s">
        <v>223</v>
      </c>
      <c r="Q854" t="s">
        <v>40</v>
      </c>
      <c r="T854" s="8">
        <v>60</v>
      </c>
      <c r="X854">
        <v>30102204</v>
      </c>
      <c r="Y854" s="8">
        <v>60.849532500000002</v>
      </c>
      <c r="Z854">
        <v>30102204</v>
      </c>
      <c r="AA854" s="8">
        <v>60.849532500000002</v>
      </c>
      <c r="AB854" t="b">
        <f t="shared" si="13"/>
        <v>0</v>
      </c>
    </row>
    <row r="855" spans="1:28" x14ac:dyDescent="0.3">
      <c r="A855">
        <v>897910</v>
      </c>
      <c r="B855" t="s">
        <v>2205</v>
      </c>
      <c r="C855" t="s">
        <v>2167</v>
      </c>
      <c r="D855" t="s">
        <v>2206</v>
      </c>
      <c r="G855">
        <v>270508</v>
      </c>
      <c r="H855" t="s">
        <v>2206</v>
      </c>
      <c r="I855" t="s">
        <v>221</v>
      </c>
      <c r="J855" s="5">
        <v>785592123992</v>
      </c>
      <c r="K855">
        <v>31162900</v>
      </c>
      <c r="M855">
        <v>143115</v>
      </c>
      <c r="N855" t="s">
        <v>2207</v>
      </c>
      <c r="O855" t="s">
        <v>221</v>
      </c>
      <c r="Q855" t="s">
        <v>86</v>
      </c>
      <c r="R855" s="9">
        <v>0.80206101790445095</v>
      </c>
      <c r="S855" s="9">
        <v>87.603050895222495</v>
      </c>
      <c r="T855" s="9">
        <v>87.603050895222495</v>
      </c>
      <c r="U855" s="9">
        <v>85.412203580890306</v>
      </c>
      <c r="X855">
        <v>31162905</v>
      </c>
      <c r="Y855" s="8">
        <v>81.112309999999994</v>
      </c>
      <c r="Z855">
        <v>31162905</v>
      </c>
      <c r="AA855" s="8">
        <v>81.112309999999994</v>
      </c>
      <c r="AB855" t="b">
        <f t="shared" si="13"/>
        <v>0</v>
      </c>
    </row>
    <row r="856" spans="1:28" x14ac:dyDescent="0.3">
      <c r="A856">
        <v>897911</v>
      </c>
      <c r="B856" t="s">
        <v>2165</v>
      </c>
      <c r="C856" t="s">
        <v>2135</v>
      </c>
      <c r="X856">
        <v>39121700</v>
      </c>
      <c r="Y856" s="9">
        <v>80.117922999999905</v>
      </c>
      <c r="Z856">
        <v>39121700</v>
      </c>
      <c r="AA856" s="8">
        <v>80.115189999999998</v>
      </c>
      <c r="AB856" t="b">
        <f t="shared" si="13"/>
        <v>0</v>
      </c>
    </row>
    <row r="857" spans="1:28" x14ac:dyDescent="0.3">
      <c r="A857">
        <v>897912</v>
      </c>
      <c r="B857" t="s">
        <v>2208</v>
      </c>
      <c r="C857" t="s">
        <v>2167</v>
      </c>
      <c r="D857" t="s">
        <v>2209</v>
      </c>
      <c r="G857">
        <v>268968</v>
      </c>
      <c r="H857" t="s">
        <v>2209</v>
      </c>
      <c r="I857" t="s">
        <v>221</v>
      </c>
      <c r="J857" s="5">
        <v>785592124005</v>
      </c>
      <c r="K857">
        <v>31162900</v>
      </c>
      <c r="M857">
        <v>143116</v>
      </c>
      <c r="N857" t="s">
        <v>2210</v>
      </c>
      <c r="O857" t="s">
        <v>221</v>
      </c>
      <c r="Q857" t="s">
        <v>86</v>
      </c>
      <c r="R857" s="9">
        <v>0.80211227855844802</v>
      </c>
      <c r="S857" s="9">
        <v>87.605613927922406</v>
      </c>
      <c r="T857" s="9">
        <v>87.605613927922406</v>
      </c>
      <c r="U857" s="9">
        <v>85.422455711689693</v>
      </c>
      <c r="X857">
        <v>31162905</v>
      </c>
      <c r="Y857" s="9">
        <v>80.630254999999906</v>
      </c>
      <c r="Z857">
        <v>31162905</v>
      </c>
      <c r="AA857" s="9">
        <v>80.630254999999906</v>
      </c>
      <c r="AB857" t="b">
        <f t="shared" si="13"/>
        <v>0</v>
      </c>
    </row>
    <row r="858" spans="1:28" x14ac:dyDescent="0.3">
      <c r="A858">
        <v>897913</v>
      </c>
      <c r="B858" t="s">
        <v>2139</v>
      </c>
      <c r="C858" t="s">
        <v>2135</v>
      </c>
      <c r="X858">
        <v>39121700</v>
      </c>
      <c r="Y858" s="8">
        <v>78.950787000000005</v>
      </c>
      <c r="Z858">
        <v>39121700</v>
      </c>
      <c r="AA858" s="8">
        <v>78.954070000000002</v>
      </c>
      <c r="AB858" t="b">
        <f t="shared" si="13"/>
        <v>0</v>
      </c>
    </row>
    <row r="859" spans="1:28" x14ac:dyDescent="0.3">
      <c r="A859">
        <v>897914</v>
      </c>
      <c r="B859" t="s">
        <v>2211</v>
      </c>
      <c r="C859" t="s">
        <v>1827</v>
      </c>
      <c r="D859">
        <v>953</v>
      </c>
      <c r="E859" t="s">
        <v>2212</v>
      </c>
      <c r="V859" t="s">
        <v>1315</v>
      </c>
      <c r="W859" s="9">
        <v>85.216289999999901</v>
      </c>
      <c r="X859">
        <v>39131700</v>
      </c>
      <c r="Y859" s="9">
        <v>85.216289999999901</v>
      </c>
      <c r="Z859">
        <v>39131700</v>
      </c>
      <c r="AA859" s="9">
        <v>85.216289999999901</v>
      </c>
      <c r="AB859" t="b">
        <f t="shared" si="13"/>
        <v>0</v>
      </c>
    </row>
    <row r="860" spans="1:28" x14ac:dyDescent="0.3">
      <c r="A860">
        <v>897915</v>
      </c>
      <c r="B860" t="s">
        <v>2138</v>
      </c>
      <c r="C860" t="s">
        <v>2135</v>
      </c>
      <c r="X860">
        <v>39121700</v>
      </c>
      <c r="Y860" s="8">
        <v>64.340655999999996</v>
      </c>
      <c r="Z860">
        <v>39121700</v>
      </c>
      <c r="AA860" s="8">
        <v>64.345088000000004</v>
      </c>
      <c r="AB860" t="b">
        <f t="shared" si="13"/>
        <v>0</v>
      </c>
    </row>
    <row r="861" spans="1:28" x14ac:dyDescent="0.3">
      <c r="A861">
        <v>897916</v>
      </c>
      <c r="B861" t="s">
        <v>2213</v>
      </c>
      <c r="C861" t="s">
        <v>1827</v>
      </c>
      <c r="D861">
        <v>954</v>
      </c>
      <c r="E861" t="s">
        <v>2214</v>
      </c>
      <c r="V861" t="s">
        <v>1315</v>
      </c>
      <c r="W861" s="9">
        <v>85.708295999999905</v>
      </c>
      <c r="X861">
        <v>39131700</v>
      </c>
      <c r="Y861" s="9">
        <v>85.708295999999905</v>
      </c>
      <c r="Z861">
        <v>39131700</v>
      </c>
      <c r="AA861" s="9">
        <v>85.708295999999905</v>
      </c>
      <c r="AB861" t="b">
        <f t="shared" si="13"/>
        <v>0</v>
      </c>
    </row>
    <row r="862" spans="1:28" x14ac:dyDescent="0.3">
      <c r="A862">
        <v>897917</v>
      </c>
      <c r="B862" t="s">
        <v>2177</v>
      </c>
      <c r="C862" t="s">
        <v>2167</v>
      </c>
      <c r="D862" t="s">
        <v>2178</v>
      </c>
      <c r="G862">
        <v>320596</v>
      </c>
      <c r="H862" t="s">
        <v>2178</v>
      </c>
      <c r="I862" t="s">
        <v>221</v>
      </c>
      <c r="J862" s="5">
        <v>751338041790</v>
      </c>
      <c r="K862">
        <v>31161700</v>
      </c>
      <c r="M862">
        <v>23224</v>
      </c>
      <c r="N862" t="s">
        <v>2179</v>
      </c>
      <c r="O862" t="s">
        <v>221</v>
      </c>
      <c r="Q862" t="s">
        <v>86</v>
      </c>
      <c r="R862" s="9">
        <v>0.79152377163103804</v>
      </c>
      <c r="S862" s="9">
        <v>87.076188581551904</v>
      </c>
      <c r="T862" s="9">
        <v>87.076188581551904</v>
      </c>
      <c r="U862" s="9">
        <v>83.3047543262077</v>
      </c>
      <c r="X862">
        <v>31161700</v>
      </c>
      <c r="Y862" s="8">
        <v>82.748850000000004</v>
      </c>
      <c r="Z862">
        <v>31161700</v>
      </c>
      <c r="AA862" s="8">
        <v>82.748850000000004</v>
      </c>
      <c r="AB862" t="b">
        <f t="shared" si="13"/>
        <v>0</v>
      </c>
    </row>
    <row r="863" spans="1:28" x14ac:dyDescent="0.3">
      <c r="A863">
        <v>897918</v>
      </c>
      <c r="B863" t="s">
        <v>2215</v>
      </c>
      <c r="C863" t="s">
        <v>2135</v>
      </c>
      <c r="X863">
        <v>31161501</v>
      </c>
      <c r="Y863" s="9">
        <v>47.848523999999998</v>
      </c>
      <c r="Z863">
        <v>31161501</v>
      </c>
      <c r="AA863" s="9">
        <v>47.848523999999998</v>
      </c>
      <c r="AB863" t="b">
        <f t="shared" si="13"/>
        <v>0</v>
      </c>
    </row>
    <row r="864" spans="1:28" x14ac:dyDescent="0.3">
      <c r="A864">
        <v>897919</v>
      </c>
      <c r="B864" t="s">
        <v>2157</v>
      </c>
      <c r="C864" t="s">
        <v>1841</v>
      </c>
      <c r="D864" t="s">
        <v>2158</v>
      </c>
      <c r="E864" t="s">
        <v>2159</v>
      </c>
      <c r="G864">
        <v>341260</v>
      </c>
      <c r="H864" t="s">
        <v>2160</v>
      </c>
      <c r="I864" t="s">
        <v>1845</v>
      </c>
      <c r="J864" s="5">
        <v>702316501416</v>
      </c>
      <c r="K864">
        <v>31161800</v>
      </c>
      <c r="L864" t="s">
        <v>2159</v>
      </c>
      <c r="M864">
        <v>265821</v>
      </c>
      <c r="N864" t="s">
        <v>2161</v>
      </c>
      <c r="O864" t="s">
        <v>1845</v>
      </c>
      <c r="Q864" t="s">
        <v>75</v>
      </c>
      <c r="R864" s="8">
        <v>0.84592868014557598</v>
      </c>
      <c r="S864" s="8">
        <v>94.796434007278805</v>
      </c>
      <c r="T864" s="8">
        <v>58.796434007278798</v>
      </c>
      <c r="U864" s="9">
        <v>93.185736029115105</v>
      </c>
      <c r="V864" t="s">
        <v>1845</v>
      </c>
      <c r="W864" s="9">
        <v>86.649759999999901</v>
      </c>
      <c r="X864">
        <v>31161812</v>
      </c>
      <c r="Y864" s="9">
        <v>86.525399999999905</v>
      </c>
      <c r="Z864">
        <v>31161812</v>
      </c>
      <c r="AA864" s="8">
        <v>86.520403999999999</v>
      </c>
      <c r="AB864" t="b">
        <f t="shared" si="13"/>
        <v>0</v>
      </c>
    </row>
    <row r="865" spans="1:28" x14ac:dyDescent="0.3">
      <c r="A865">
        <v>897920</v>
      </c>
      <c r="B865" t="s">
        <v>2216</v>
      </c>
      <c r="C865" t="s">
        <v>2135</v>
      </c>
      <c r="D865" t="s">
        <v>2217</v>
      </c>
      <c r="X865">
        <v>39121613</v>
      </c>
      <c r="Y865" s="9">
        <v>46.7598839999999</v>
      </c>
      <c r="Z865">
        <v>39121613</v>
      </c>
      <c r="AA865" s="9">
        <v>46.7598839999999</v>
      </c>
      <c r="AB865" t="b">
        <f t="shared" si="13"/>
        <v>0</v>
      </c>
    </row>
    <row r="866" spans="1:28" x14ac:dyDescent="0.3">
      <c r="A866">
        <v>897921</v>
      </c>
      <c r="B866" t="s">
        <v>2191</v>
      </c>
      <c r="C866" t="s">
        <v>2152</v>
      </c>
      <c r="D866" t="s">
        <v>2192</v>
      </c>
      <c r="X866">
        <v>30101800</v>
      </c>
      <c r="Y866" s="9">
        <v>48.657903599999997</v>
      </c>
      <c r="Z866">
        <v>30101800</v>
      </c>
      <c r="AA866" s="9">
        <v>48.657903599999997</v>
      </c>
      <c r="AB866" t="b">
        <f t="shared" si="13"/>
        <v>0</v>
      </c>
    </row>
    <row r="867" spans="1:28" x14ac:dyDescent="0.3">
      <c r="A867">
        <v>897922</v>
      </c>
      <c r="B867" t="s">
        <v>2218</v>
      </c>
      <c r="C867" t="s">
        <v>2135</v>
      </c>
      <c r="X867">
        <v>31161620</v>
      </c>
      <c r="Y867" s="8">
        <v>78.280429999999996</v>
      </c>
      <c r="Z867">
        <v>31161620</v>
      </c>
      <c r="AA867" s="8">
        <v>78.265225999999998</v>
      </c>
      <c r="AB867" t="b">
        <f t="shared" si="13"/>
        <v>0</v>
      </c>
    </row>
    <row r="868" spans="1:28" x14ac:dyDescent="0.3">
      <c r="A868">
        <v>897923</v>
      </c>
      <c r="B868" t="s">
        <v>2194</v>
      </c>
      <c r="C868" t="s">
        <v>1841</v>
      </c>
      <c r="D868" t="s">
        <v>2195</v>
      </c>
      <c r="E868" t="s">
        <v>2196</v>
      </c>
      <c r="O868" t="s">
        <v>227</v>
      </c>
      <c r="P868" t="s">
        <v>223</v>
      </c>
      <c r="Q868" t="s">
        <v>40</v>
      </c>
      <c r="T868" s="8">
        <v>60</v>
      </c>
      <c r="X868">
        <v>31160000</v>
      </c>
      <c r="Y868" s="9">
        <v>76.580789999999993</v>
      </c>
      <c r="Z868">
        <v>31160000</v>
      </c>
      <c r="AA868" s="9">
        <v>76.580789999999993</v>
      </c>
      <c r="AB868" t="b">
        <f t="shared" si="13"/>
        <v>0</v>
      </c>
    </row>
    <row r="869" spans="1:28" x14ac:dyDescent="0.3">
      <c r="A869">
        <v>897924</v>
      </c>
      <c r="B869" t="s">
        <v>2265</v>
      </c>
      <c r="C869" t="s">
        <v>2135</v>
      </c>
      <c r="X869">
        <v>31161501</v>
      </c>
      <c r="Y869" s="9">
        <v>51.866976666666602</v>
      </c>
      <c r="Z869">
        <v>31161501</v>
      </c>
      <c r="AA869" s="9">
        <v>51.866976666666602</v>
      </c>
      <c r="AB869" t="b">
        <f t="shared" si="13"/>
        <v>0</v>
      </c>
    </row>
    <row r="870" spans="1:28" x14ac:dyDescent="0.3">
      <c r="A870">
        <v>897925</v>
      </c>
      <c r="B870" t="s">
        <v>2186</v>
      </c>
      <c r="C870" t="s">
        <v>1841</v>
      </c>
      <c r="D870" t="s">
        <v>2187</v>
      </c>
      <c r="O870" t="s">
        <v>227</v>
      </c>
      <c r="P870" t="s">
        <v>223</v>
      </c>
      <c r="Q870" t="s">
        <v>40</v>
      </c>
      <c r="T870" s="8">
        <v>60</v>
      </c>
      <c r="X870">
        <v>31162906</v>
      </c>
      <c r="Y870" s="9">
        <v>57.78399975</v>
      </c>
      <c r="Z870">
        <v>31162906</v>
      </c>
      <c r="AA870" s="9">
        <v>57.78399975</v>
      </c>
      <c r="AB870" t="b">
        <f t="shared" si="13"/>
        <v>0</v>
      </c>
    </row>
    <row r="871" spans="1:28" x14ac:dyDescent="0.3">
      <c r="A871">
        <v>897926</v>
      </c>
      <c r="B871" t="s">
        <v>2136</v>
      </c>
      <c r="C871" t="s">
        <v>2137</v>
      </c>
      <c r="X871">
        <v>31161727</v>
      </c>
      <c r="Y871" s="8">
        <v>79.34769</v>
      </c>
      <c r="Z871">
        <v>31161727</v>
      </c>
      <c r="AA871" s="8">
        <v>79.34769</v>
      </c>
      <c r="AB871" t="b">
        <f t="shared" si="13"/>
        <v>0</v>
      </c>
    </row>
    <row r="872" spans="1:28" x14ac:dyDescent="0.3">
      <c r="A872">
        <v>897927</v>
      </c>
      <c r="B872" t="s">
        <v>2197</v>
      </c>
      <c r="C872" t="s">
        <v>1841</v>
      </c>
      <c r="D872" t="s">
        <v>2198</v>
      </c>
      <c r="E872" t="s">
        <v>2199</v>
      </c>
      <c r="G872">
        <v>341259</v>
      </c>
      <c r="H872" t="s">
        <v>2200</v>
      </c>
      <c r="I872" t="s">
        <v>1845</v>
      </c>
      <c r="J872" s="5">
        <v>702316501256</v>
      </c>
      <c r="K872">
        <v>30102204</v>
      </c>
      <c r="L872" t="s">
        <v>2199</v>
      </c>
      <c r="M872">
        <v>265813</v>
      </c>
      <c r="N872" t="s">
        <v>2201</v>
      </c>
      <c r="O872" t="s">
        <v>1845</v>
      </c>
      <c r="Q872" t="s">
        <v>75</v>
      </c>
      <c r="R872" s="9">
        <v>0.98053242667871499</v>
      </c>
      <c r="S872" s="9">
        <v>91.526621333935694</v>
      </c>
      <c r="T872" s="9">
        <v>59.526621333935701</v>
      </c>
      <c r="U872" s="8">
        <v>100</v>
      </c>
      <c r="V872" t="s">
        <v>1845</v>
      </c>
      <c r="W872" s="8">
        <v>98.090404000000007</v>
      </c>
      <c r="X872">
        <v>30102204</v>
      </c>
      <c r="Y872" s="8">
        <v>98.090404000000007</v>
      </c>
      <c r="Z872">
        <v>30102204</v>
      </c>
      <c r="AA872" s="9">
        <v>98.090279999999893</v>
      </c>
      <c r="AB872" t="b">
        <f t="shared" si="13"/>
        <v>0</v>
      </c>
    </row>
    <row r="873" spans="1:28" x14ac:dyDescent="0.3">
      <c r="A873">
        <v>897928</v>
      </c>
      <c r="B873" t="s">
        <v>2134</v>
      </c>
      <c r="C873" t="s">
        <v>2135</v>
      </c>
      <c r="AB873" t="b">
        <f t="shared" si="13"/>
        <v>0</v>
      </c>
    </row>
    <row r="874" spans="1:28" x14ac:dyDescent="0.3">
      <c r="A874">
        <v>897929</v>
      </c>
      <c r="B874" t="s">
        <v>2202</v>
      </c>
      <c r="C874" t="s">
        <v>1841</v>
      </c>
      <c r="D874" t="s">
        <v>2203</v>
      </c>
      <c r="E874" t="s">
        <v>2204</v>
      </c>
      <c r="O874" t="s">
        <v>227</v>
      </c>
      <c r="P874" t="s">
        <v>223</v>
      </c>
      <c r="Q874" t="s">
        <v>40</v>
      </c>
      <c r="T874" s="8">
        <v>60</v>
      </c>
      <c r="X874">
        <v>30102204</v>
      </c>
      <c r="Y874" s="8">
        <v>60.849532500000002</v>
      </c>
      <c r="Z874">
        <v>30102204</v>
      </c>
      <c r="AA874" s="8">
        <v>60.849532500000002</v>
      </c>
      <c r="AB874" t="b">
        <f t="shared" si="13"/>
        <v>0</v>
      </c>
    </row>
    <row r="875" spans="1:28" x14ac:dyDescent="0.3">
      <c r="A875">
        <v>897930</v>
      </c>
      <c r="B875" t="s">
        <v>2149</v>
      </c>
      <c r="C875" t="s">
        <v>2135</v>
      </c>
      <c r="X875">
        <v>31161801</v>
      </c>
      <c r="Y875" s="8">
        <v>64.8539064</v>
      </c>
      <c r="Z875">
        <v>31161801</v>
      </c>
      <c r="AA875" s="8">
        <v>64.8539064</v>
      </c>
      <c r="AB875" t="b">
        <f t="shared" si="13"/>
        <v>0</v>
      </c>
    </row>
    <row r="876" spans="1:28" x14ac:dyDescent="0.3">
      <c r="A876">
        <v>897931</v>
      </c>
      <c r="B876" t="s">
        <v>2205</v>
      </c>
      <c r="C876" t="s">
        <v>2167</v>
      </c>
      <c r="D876" t="s">
        <v>2206</v>
      </c>
      <c r="G876">
        <v>270508</v>
      </c>
      <c r="H876" t="s">
        <v>2206</v>
      </c>
      <c r="I876" t="s">
        <v>221</v>
      </c>
      <c r="J876" s="5">
        <v>785592123992</v>
      </c>
      <c r="K876">
        <v>31162900</v>
      </c>
      <c r="M876">
        <v>143115</v>
      </c>
      <c r="N876" t="s">
        <v>2207</v>
      </c>
      <c r="O876" t="s">
        <v>221</v>
      </c>
      <c r="Q876" t="s">
        <v>86</v>
      </c>
      <c r="R876" s="9">
        <v>0.80206101790445095</v>
      </c>
      <c r="S876" s="9">
        <v>87.603050895222495</v>
      </c>
      <c r="T876" s="9">
        <v>87.603050895222495</v>
      </c>
      <c r="U876" s="9">
        <v>85.412203580890306</v>
      </c>
      <c r="X876">
        <v>31162905</v>
      </c>
      <c r="Y876" s="8">
        <v>81.112309999999994</v>
      </c>
      <c r="Z876">
        <v>31162905</v>
      </c>
      <c r="AA876" s="8">
        <v>81.112309999999994</v>
      </c>
      <c r="AB876" t="b">
        <f t="shared" si="13"/>
        <v>0</v>
      </c>
    </row>
    <row r="877" spans="1:28" x14ac:dyDescent="0.3">
      <c r="A877">
        <v>897932</v>
      </c>
      <c r="B877" t="s">
        <v>2221</v>
      </c>
      <c r="C877" t="s">
        <v>1841</v>
      </c>
      <c r="D877" t="s">
        <v>2222</v>
      </c>
      <c r="E877" t="s">
        <v>2223</v>
      </c>
      <c r="O877" t="s">
        <v>227</v>
      </c>
      <c r="P877" t="s">
        <v>223</v>
      </c>
      <c r="Q877" t="s">
        <v>40</v>
      </c>
      <c r="T877" s="8">
        <v>60</v>
      </c>
      <c r="X877">
        <v>31162906</v>
      </c>
      <c r="Y877" s="8">
        <v>77.859470000000002</v>
      </c>
      <c r="Z877">
        <v>31162906</v>
      </c>
      <c r="AA877" s="9">
        <v>77.856963999999905</v>
      </c>
      <c r="AB877" t="b">
        <f t="shared" si="13"/>
        <v>0</v>
      </c>
    </row>
    <row r="878" spans="1:28" x14ac:dyDescent="0.3">
      <c r="A878">
        <v>897933</v>
      </c>
      <c r="B878" t="s">
        <v>2208</v>
      </c>
      <c r="C878" t="s">
        <v>2167</v>
      </c>
      <c r="D878" t="s">
        <v>2209</v>
      </c>
      <c r="G878">
        <v>268968</v>
      </c>
      <c r="H878" t="s">
        <v>2209</v>
      </c>
      <c r="I878" t="s">
        <v>221</v>
      </c>
      <c r="J878" s="5">
        <v>785592124005</v>
      </c>
      <c r="K878">
        <v>31162900</v>
      </c>
      <c r="M878">
        <v>143116</v>
      </c>
      <c r="N878" t="s">
        <v>2210</v>
      </c>
      <c r="O878" t="s">
        <v>221</v>
      </c>
      <c r="Q878" t="s">
        <v>86</v>
      </c>
      <c r="R878" s="9">
        <v>0.80211227855844802</v>
      </c>
      <c r="S878" s="9">
        <v>87.605613927922406</v>
      </c>
      <c r="T878" s="9">
        <v>87.605613927922406</v>
      </c>
      <c r="U878" s="9">
        <v>85.422455711689693</v>
      </c>
      <c r="X878">
        <v>31162905</v>
      </c>
      <c r="Y878" s="9">
        <v>80.630254999999906</v>
      </c>
      <c r="Z878">
        <v>31162905</v>
      </c>
      <c r="AA878" s="9">
        <v>80.630254999999906</v>
      </c>
      <c r="AB878" t="b">
        <f t="shared" si="13"/>
        <v>0</v>
      </c>
    </row>
    <row r="879" spans="1:28" x14ac:dyDescent="0.3">
      <c r="A879">
        <v>897934</v>
      </c>
      <c r="B879" t="s">
        <v>2266</v>
      </c>
      <c r="C879" t="s">
        <v>1311</v>
      </c>
      <c r="D879" t="s">
        <v>2267</v>
      </c>
      <c r="E879" t="s">
        <v>2268</v>
      </c>
      <c r="V879" t="s">
        <v>1315</v>
      </c>
      <c r="W879" s="9">
        <v>69.063539199999994</v>
      </c>
      <c r="X879">
        <v>39131700</v>
      </c>
      <c r="Y879" s="8">
        <v>51.797654399999999</v>
      </c>
      <c r="Z879">
        <v>39131700</v>
      </c>
      <c r="AA879" s="9">
        <v>51.795899999999897</v>
      </c>
      <c r="AB879" t="b">
        <f t="shared" si="13"/>
        <v>0</v>
      </c>
    </row>
    <row r="880" spans="1:28" x14ac:dyDescent="0.3">
      <c r="A880">
        <v>897935</v>
      </c>
      <c r="B880" t="s">
        <v>2224</v>
      </c>
      <c r="C880" t="s">
        <v>1841</v>
      </c>
      <c r="D880" t="s">
        <v>2225</v>
      </c>
      <c r="E880" t="s">
        <v>2226</v>
      </c>
      <c r="O880" t="s">
        <v>45</v>
      </c>
      <c r="P880" t="s">
        <v>42</v>
      </c>
      <c r="Q880" t="s">
        <v>51</v>
      </c>
      <c r="T880" s="8">
        <v>50</v>
      </c>
      <c r="X880">
        <v>39121700</v>
      </c>
      <c r="Y880" s="8">
        <v>78.808710000000005</v>
      </c>
      <c r="Z880">
        <v>39121700</v>
      </c>
      <c r="AA880" s="8">
        <v>78.808710000000005</v>
      </c>
      <c r="AB880" t="b">
        <f t="shared" si="13"/>
        <v>0</v>
      </c>
    </row>
    <row r="881" spans="1:28" x14ac:dyDescent="0.3">
      <c r="A881">
        <v>897936</v>
      </c>
      <c r="B881" t="s">
        <v>2211</v>
      </c>
      <c r="C881" t="s">
        <v>1827</v>
      </c>
      <c r="D881">
        <v>953</v>
      </c>
      <c r="E881" t="s">
        <v>2212</v>
      </c>
      <c r="V881" t="s">
        <v>1315</v>
      </c>
      <c r="W881" s="9">
        <v>85.216289999999901</v>
      </c>
      <c r="X881">
        <v>39131700</v>
      </c>
      <c r="Y881" s="9">
        <v>85.216289999999901</v>
      </c>
      <c r="Z881">
        <v>39131700</v>
      </c>
      <c r="AA881" s="9">
        <v>85.216289999999901</v>
      </c>
      <c r="AB881" t="b">
        <f t="shared" si="13"/>
        <v>0</v>
      </c>
    </row>
    <row r="882" spans="1:28" x14ac:dyDescent="0.3">
      <c r="A882">
        <v>897937</v>
      </c>
      <c r="B882" t="s">
        <v>2269</v>
      </c>
      <c r="C882" t="s">
        <v>1311</v>
      </c>
      <c r="D882" t="s">
        <v>2270</v>
      </c>
      <c r="E882" t="s">
        <v>2271</v>
      </c>
      <c r="G882">
        <v>336927</v>
      </c>
      <c r="H882" t="s">
        <v>2272</v>
      </c>
      <c r="I882" t="s">
        <v>1315</v>
      </c>
      <c r="J882" s="5">
        <v>781381654500</v>
      </c>
      <c r="K882">
        <v>39121312</v>
      </c>
      <c r="L882" t="s">
        <v>2271</v>
      </c>
      <c r="M882">
        <v>252198</v>
      </c>
      <c r="N882" t="s">
        <v>2273</v>
      </c>
      <c r="O882" t="s">
        <v>1315</v>
      </c>
      <c r="Q882" t="s">
        <v>86</v>
      </c>
      <c r="R882" s="8">
        <v>0.803424349763733</v>
      </c>
      <c r="S882" s="9">
        <v>13.5819158468097</v>
      </c>
      <c r="T882" s="9">
        <v>13.5819158468097</v>
      </c>
      <c r="U882" s="8">
        <v>92.842434976373298</v>
      </c>
      <c r="X882">
        <v>39121312</v>
      </c>
      <c r="Y882" s="9">
        <v>84.738309999999899</v>
      </c>
      <c r="Z882">
        <v>39121312</v>
      </c>
      <c r="AA882" s="9">
        <v>84.738309999999899</v>
      </c>
      <c r="AB882" t="b">
        <f t="shared" si="13"/>
        <v>0</v>
      </c>
    </row>
    <row r="883" spans="1:28" x14ac:dyDescent="0.3">
      <c r="A883">
        <v>897938</v>
      </c>
      <c r="B883" t="s">
        <v>2227</v>
      </c>
      <c r="C883" t="s">
        <v>1841</v>
      </c>
      <c r="D883" t="s">
        <v>2228</v>
      </c>
      <c r="E883" t="s">
        <v>2229</v>
      </c>
      <c r="O883" t="s">
        <v>227</v>
      </c>
      <c r="P883" t="s">
        <v>223</v>
      </c>
      <c r="Q883" t="s">
        <v>40</v>
      </c>
      <c r="T883" s="8">
        <v>60</v>
      </c>
      <c r="X883">
        <v>31162906</v>
      </c>
      <c r="Y883" s="8">
        <v>76.885855000000006</v>
      </c>
      <c r="Z883">
        <v>31162906</v>
      </c>
      <c r="AA883" s="8">
        <v>76.885855000000006</v>
      </c>
      <c r="AB883" t="b">
        <f t="shared" si="13"/>
        <v>0</v>
      </c>
    </row>
    <row r="884" spans="1:28" x14ac:dyDescent="0.3">
      <c r="A884">
        <v>897939</v>
      </c>
      <c r="B884" t="s">
        <v>1357</v>
      </c>
      <c r="C884" t="s">
        <v>1113</v>
      </c>
      <c r="D884" t="s">
        <v>1358</v>
      </c>
      <c r="E884" t="s">
        <v>2274</v>
      </c>
      <c r="O884" t="s">
        <v>1230</v>
      </c>
      <c r="P884" t="s">
        <v>1231</v>
      </c>
      <c r="Q884" t="s">
        <v>40</v>
      </c>
      <c r="T884" s="8">
        <v>60</v>
      </c>
      <c r="AB884" t="b">
        <f t="shared" si="13"/>
        <v>0</v>
      </c>
    </row>
    <row r="885" spans="1:28" x14ac:dyDescent="0.3">
      <c r="A885">
        <v>897940</v>
      </c>
      <c r="B885" t="s">
        <v>2213</v>
      </c>
      <c r="C885" t="s">
        <v>1827</v>
      </c>
      <c r="D885">
        <v>954</v>
      </c>
      <c r="E885" t="s">
        <v>2214</v>
      </c>
      <c r="V885" t="s">
        <v>1315</v>
      </c>
      <c r="W885" s="9">
        <v>85.708295999999905</v>
      </c>
      <c r="X885">
        <v>39131700</v>
      </c>
      <c r="Y885" s="9">
        <v>85.708295999999905</v>
      </c>
      <c r="Z885">
        <v>39131700</v>
      </c>
      <c r="AA885" s="9">
        <v>85.708295999999905</v>
      </c>
      <c r="AB885" t="b">
        <f t="shared" si="13"/>
        <v>0</v>
      </c>
    </row>
    <row r="886" spans="1:28" x14ac:dyDescent="0.3">
      <c r="A886">
        <v>897941</v>
      </c>
      <c r="B886" t="s">
        <v>2230</v>
      </c>
      <c r="C886" t="s">
        <v>1841</v>
      </c>
      <c r="D886" t="s">
        <v>2231</v>
      </c>
      <c r="E886" t="s">
        <v>2232</v>
      </c>
      <c r="O886" t="s">
        <v>45</v>
      </c>
      <c r="P886" t="s">
        <v>42</v>
      </c>
      <c r="Q886" t="s">
        <v>51</v>
      </c>
      <c r="T886" s="8">
        <v>50</v>
      </c>
      <c r="X886">
        <v>39121700</v>
      </c>
      <c r="Y886" s="9">
        <v>63.299946399999897</v>
      </c>
      <c r="Z886">
        <v>39121700</v>
      </c>
      <c r="AA886" s="8">
        <v>63.303236800000001</v>
      </c>
      <c r="AB886" t="b">
        <f t="shared" si="13"/>
        <v>0</v>
      </c>
    </row>
    <row r="887" spans="1:28" x14ac:dyDescent="0.3">
      <c r="A887">
        <v>897942</v>
      </c>
      <c r="B887" t="s">
        <v>1112</v>
      </c>
      <c r="C887" t="s">
        <v>1113</v>
      </c>
      <c r="D887" t="s">
        <v>1114</v>
      </c>
      <c r="E887" t="s">
        <v>2275</v>
      </c>
      <c r="X887">
        <v>39131707</v>
      </c>
      <c r="Y887" s="9">
        <v>45.636467999999901</v>
      </c>
      <c r="Z887">
        <v>39131707</v>
      </c>
      <c r="AA887" s="9">
        <v>45.636467999999901</v>
      </c>
      <c r="AB887" t="b">
        <f t="shared" si="13"/>
        <v>0</v>
      </c>
    </row>
    <row r="888" spans="1:28" x14ac:dyDescent="0.3">
      <c r="A888">
        <v>897943</v>
      </c>
      <c r="B888" t="s">
        <v>2215</v>
      </c>
      <c r="C888" t="s">
        <v>2135</v>
      </c>
      <c r="X888">
        <v>31161501</v>
      </c>
      <c r="Y888" s="9">
        <v>47.848523999999998</v>
      </c>
      <c r="Z888">
        <v>31161501</v>
      </c>
      <c r="AA888" s="9">
        <v>47.848523999999998</v>
      </c>
      <c r="AB888" t="b">
        <f t="shared" si="13"/>
        <v>0</v>
      </c>
    </row>
    <row r="889" spans="1:28" x14ac:dyDescent="0.3">
      <c r="A889">
        <v>897944</v>
      </c>
      <c r="B889" t="s">
        <v>1905</v>
      </c>
      <c r="C889" t="s">
        <v>1841</v>
      </c>
      <c r="D889" t="s">
        <v>1906</v>
      </c>
      <c r="E889" t="s">
        <v>1907</v>
      </c>
      <c r="O889" t="s">
        <v>227</v>
      </c>
      <c r="P889" t="s">
        <v>223</v>
      </c>
      <c r="Q889" t="s">
        <v>40</v>
      </c>
      <c r="T889" s="8">
        <v>60</v>
      </c>
      <c r="V889" t="s">
        <v>1845</v>
      </c>
      <c r="W889" s="8">
        <v>94.512635000000003</v>
      </c>
      <c r="X889">
        <v>31162906</v>
      </c>
      <c r="Y889" s="8">
        <v>94.512635000000003</v>
      </c>
      <c r="Z889">
        <v>31162906</v>
      </c>
      <c r="AA889" s="8">
        <v>94.003707500000004</v>
      </c>
      <c r="AB889" t="b">
        <f t="shared" si="13"/>
        <v>0</v>
      </c>
    </row>
    <row r="890" spans="1:28" x14ac:dyDescent="0.3">
      <c r="A890">
        <v>897945</v>
      </c>
      <c r="B890" t="s">
        <v>2216</v>
      </c>
      <c r="C890" t="s">
        <v>2135</v>
      </c>
      <c r="D890" t="s">
        <v>2217</v>
      </c>
      <c r="X890">
        <v>39121613</v>
      </c>
      <c r="Y890" s="9">
        <v>46.7598839999999</v>
      </c>
      <c r="Z890">
        <v>39121613</v>
      </c>
      <c r="AA890" s="9">
        <v>46.7598839999999</v>
      </c>
      <c r="AB890" t="b">
        <f t="shared" si="13"/>
        <v>0</v>
      </c>
    </row>
    <row r="891" spans="1:28" x14ac:dyDescent="0.3">
      <c r="A891">
        <v>897946</v>
      </c>
      <c r="B891" t="s">
        <v>2233</v>
      </c>
      <c r="C891" t="s">
        <v>2234</v>
      </c>
      <c r="D891" t="s">
        <v>2235</v>
      </c>
      <c r="O891" t="s">
        <v>2234</v>
      </c>
      <c r="P891" t="s">
        <v>2234</v>
      </c>
      <c r="Q891" t="s">
        <v>40</v>
      </c>
      <c r="T891" s="8">
        <v>70</v>
      </c>
      <c r="X891">
        <v>27113100</v>
      </c>
      <c r="Y891" s="8">
        <v>80.095464000000007</v>
      </c>
      <c r="Z891">
        <v>27113100</v>
      </c>
      <c r="AA891" s="8">
        <v>80.095464000000007</v>
      </c>
      <c r="AB891" t="b">
        <f t="shared" si="13"/>
        <v>0</v>
      </c>
    </row>
    <row r="892" spans="1:28" x14ac:dyDescent="0.3">
      <c r="A892">
        <v>897947</v>
      </c>
      <c r="B892" t="s">
        <v>2218</v>
      </c>
      <c r="C892" t="s">
        <v>2135</v>
      </c>
      <c r="X892">
        <v>31161620</v>
      </c>
      <c r="Y892" s="8">
        <v>78.265225999999998</v>
      </c>
      <c r="Z892">
        <v>31161620</v>
      </c>
      <c r="AA892" s="8">
        <v>78.265225999999998</v>
      </c>
      <c r="AB892" t="b">
        <f t="shared" si="13"/>
        <v>0</v>
      </c>
    </row>
    <row r="893" spans="1:28" x14ac:dyDescent="0.3">
      <c r="A893">
        <v>897948</v>
      </c>
      <c r="B893" t="s">
        <v>2276</v>
      </c>
      <c r="C893" t="s">
        <v>2137</v>
      </c>
      <c r="X893">
        <v>31161620</v>
      </c>
      <c r="Y893" s="9">
        <v>59.552313749999897</v>
      </c>
      <c r="Z893">
        <v>31161620</v>
      </c>
      <c r="AA893" s="9">
        <v>59.552313749999897</v>
      </c>
      <c r="AB893" t="b">
        <f t="shared" si="13"/>
        <v>0</v>
      </c>
    </row>
    <row r="894" spans="1:28" x14ac:dyDescent="0.3">
      <c r="A894">
        <v>897949</v>
      </c>
      <c r="B894" t="s">
        <v>2219</v>
      </c>
      <c r="C894" t="s">
        <v>2135</v>
      </c>
      <c r="X894">
        <v>31161501</v>
      </c>
      <c r="Y894" s="9">
        <v>58.728944999999896</v>
      </c>
      <c r="Z894">
        <v>31161501</v>
      </c>
      <c r="AA894" s="9">
        <v>58.728944999999896</v>
      </c>
      <c r="AB894" t="b">
        <f t="shared" si="13"/>
        <v>0</v>
      </c>
    </row>
    <row r="895" spans="1:28" x14ac:dyDescent="0.3">
      <c r="A895">
        <v>897950</v>
      </c>
      <c r="B895" t="s">
        <v>2277</v>
      </c>
      <c r="C895" t="s">
        <v>2137</v>
      </c>
      <c r="X895">
        <v>31161501</v>
      </c>
      <c r="Y895" s="8">
        <v>59.700206250000001</v>
      </c>
      <c r="Z895">
        <v>31161501</v>
      </c>
      <c r="AA895" s="9">
        <v>59.726354999999998</v>
      </c>
      <c r="AB895" t="b">
        <f t="shared" si="13"/>
        <v>0</v>
      </c>
    </row>
    <row r="896" spans="1:28" x14ac:dyDescent="0.3">
      <c r="A896">
        <v>897951</v>
      </c>
      <c r="B896" t="s">
        <v>2220</v>
      </c>
      <c r="C896" t="s">
        <v>2137</v>
      </c>
      <c r="X896">
        <v>31161727</v>
      </c>
      <c r="Y896" s="8">
        <v>79.775490000000005</v>
      </c>
      <c r="Z896">
        <v>31161727</v>
      </c>
      <c r="AA896" s="8">
        <v>79.775490000000005</v>
      </c>
      <c r="AB896" t="b">
        <f t="shared" si="13"/>
        <v>0</v>
      </c>
    </row>
    <row r="897" spans="1:28" x14ac:dyDescent="0.3">
      <c r="A897">
        <v>897952</v>
      </c>
      <c r="B897" t="s">
        <v>2238</v>
      </c>
      <c r="C897" t="s">
        <v>2137</v>
      </c>
      <c r="X897">
        <v>31161620</v>
      </c>
      <c r="Y897" s="8">
        <v>60.042947249999997</v>
      </c>
      <c r="Z897">
        <v>31161620</v>
      </c>
      <c r="AA897" s="8">
        <v>60.042947249999997</v>
      </c>
      <c r="AB897" t="b">
        <f t="shared" si="13"/>
        <v>0</v>
      </c>
    </row>
    <row r="898" spans="1:28" x14ac:dyDescent="0.3">
      <c r="A898">
        <v>897953</v>
      </c>
      <c r="B898" t="s">
        <v>2134</v>
      </c>
      <c r="C898" t="s">
        <v>2135</v>
      </c>
      <c r="AB898" t="b">
        <f t="shared" si="13"/>
        <v>0</v>
      </c>
    </row>
    <row r="899" spans="1:28" x14ac:dyDescent="0.3">
      <c r="A899">
        <v>897954</v>
      </c>
      <c r="B899" t="s">
        <v>2239</v>
      </c>
      <c r="C899" t="s">
        <v>2137</v>
      </c>
      <c r="X899">
        <v>31161727</v>
      </c>
      <c r="Y899" s="8">
        <v>82.001540000000006</v>
      </c>
      <c r="Z899">
        <v>31161727</v>
      </c>
      <c r="AA899" s="8">
        <v>82.001540000000006</v>
      </c>
      <c r="AB899" t="b">
        <f t="shared" ref="AB899:AB962" si="14">(AA899-Y899)&lt;-1</f>
        <v>0</v>
      </c>
    </row>
    <row r="900" spans="1:28" x14ac:dyDescent="0.3">
      <c r="A900">
        <v>897955</v>
      </c>
      <c r="B900" t="s">
        <v>2240</v>
      </c>
      <c r="C900" t="s">
        <v>2137</v>
      </c>
      <c r="X900">
        <v>31161807</v>
      </c>
      <c r="Y900" s="9">
        <v>79.931259999999995</v>
      </c>
      <c r="Z900">
        <v>31161807</v>
      </c>
      <c r="AA900" s="9">
        <v>79.931259999999995</v>
      </c>
      <c r="AB900" t="b">
        <f t="shared" si="14"/>
        <v>0</v>
      </c>
    </row>
    <row r="901" spans="1:28" x14ac:dyDescent="0.3">
      <c r="A901">
        <v>897956</v>
      </c>
      <c r="B901" t="s">
        <v>2149</v>
      </c>
      <c r="C901" t="s">
        <v>2135</v>
      </c>
      <c r="X901">
        <v>31161801</v>
      </c>
      <c r="Y901" s="8">
        <v>64.8539064</v>
      </c>
      <c r="Z901">
        <v>31161801</v>
      </c>
      <c r="AA901" s="8">
        <v>64.8539064</v>
      </c>
      <c r="AB901" t="b">
        <f t="shared" si="14"/>
        <v>0</v>
      </c>
    </row>
    <row r="902" spans="1:28" x14ac:dyDescent="0.3">
      <c r="A902">
        <v>897957</v>
      </c>
      <c r="B902" t="s">
        <v>2278</v>
      </c>
      <c r="C902" t="s">
        <v>1163</v>
      </c>
      <c r="D902">
        <v>4250</v>
      </c>
      <c r="E902" t="s">
        <v>2279</v>
      </c>
      <c r="X902">
        <v>39121420</v>
      </c>
      <c r="Y902" s="9">
        <v>77.162223999999995</v>
      </c>
      <c r="Z902">
        <v>39121420</v>
      </c>
      <c r="AA902" s="9">
        <v>77.158959999999993</v>
      </c>
      <c r="AB902" t="b">
        <f t="shared" si="14"/>
        <v>0</v>
      </c>
    </row>
    <row r="903" spans="1:28" x14ac:dyDescent="0.3">
      <c r="A903">
        <v>897958</v>
      </c>
      <c r="B903" t="s">
        <v>2221</v>
      </c>
      <c r="C903" t="s">
        <v>1841</v>
      </c>
      <c r="D903" t="s">
        <v>2222</v>
      </c>
      <c r="E903" t="s">
        <v>2223</v>
      </c>
      <c r="O903" t="s">
        <v>227</v>
      </c>
      <c r="P903" t="s">
        <v>223</v>
      </c>
      <c r="Q903" t="s">
        <v>40</v>
      </c>
      <c r="T903" s="8">
        <v>60</v>
      </c>
      <c r="X903">
        <v>31162906</v>
      </c>
      <c r="Y903" s="8">
        <v>77.859470000000002</v>
      </c>
      <c r="Z903">
        <v>31162906</v>
      </c>
      <c r="AA903" s="9">
        <v>77.853449999999995</v>
      </c>
      <c r="AB903" t="b">
        <f t="shared" si="14"/>
        <v>0</v>
      </c>
    </row>
    <row r="904" spans="1:28" x14ac:dyDescent="0.3">
      <c r="A904">
        <v>897959</v>
      </c>
      <c r="B904" t="s">
        <v>2180</v>
      </c>
      <c r="C904" t="s">
        <v>2137</v>
      </c>
      <c r="X904">
        <v>31161801</v>
      </c>
      <c r="Y904" s="8">
        <v>64.937039999999996</v>
      </c>
      <c r="Z904">
        <v>31161801</v>
      </c>
      <c r="AA904" s="8">
        <v>64.937039999999996</v>
      </c>
      <c r="AB904" t="b">
        <f t="shared" si="14"/>
        <v>0</v>
      </c>
    </row>
    <row r="905" spans="1:28" x14ac:dyDescent="0.3">
      <c r="A905">
        <v>897960</v>
      </c>
      <c r="B905" t="s">
        <v>2224</v>
      </c>
      <c r="C905" t="s">
        <v>1841</v>
      </c>
      <c r="D905" t="s">
        <v>2225</v>
      </c>
      <c r="E905" t="s">
        <v>2226</v>
      </c>
      <c r="O905" t="s">
        <v>45</v>
      </c>
      <c r="P905" t="s">
        <v>42</v>
      </c>
      <c r="Q905" t="s">
        <v>51</v>
      </c>
      <c r="T905" s="8">
        <v>50</v>
      </c>
      <c r="X905">
        <v>39121700</v>
      </c>
      <c r="Y905" s="8">
        <v>78.808710000000005</v>
      </c>
      <c r="Z905">
        <v>39121700</v>
      </c>
      <c r="AA905" s="8">
        <v>78.808710000000005</v>
      </c>
      <c r="AB905" t="b">
        <f t="shared" si="14"/>
        <v>0</v>
      </c>
    </row>
    <row r="906" spans="1:28" x14ac:dyDescent="0.3">
      <c r="A906">
        <v>897961</v>
      </c>
      <c r="B906" t="s">
        <v>2166</v>
      </c>
      <c r="C906" t="s">
        <v>2167</v>
      </c>
      <c r="X906">
        <v>31161812</v>
      </c>
      <c r="Y906" s="8">
        <v>81.046533999999994</v>
      </c>
      <c r="Z906">
        <v>31161812</v>
      </c>
      <c r="AA906" s="8">
        <v>81.046533999999994</v>
      </c>
      <c r="AB906" t="b">
        <f t="shared" si="14"/>
        <v>0</v>
      </c>
    </row>
    <row r="907" spans="1:28" x14ac:dyDescent="0.3">
      <c r="A907">
        <v>897962</v>
      </c>
      <c r="B907" t="s">
        <v>2227</v>
      </c>
      <c r="C907" t="s">
        <v>1841</v>
      </c>
      <c r="D907" t="s">
        <v>2228</v>
      </c>
      <c r="E907" t="s">
        <v>2229</v>
      </c>
      <c r="O907" t="s">
        <v>227</v>
      </c>
      <c r="P907" t="s">
        <v>223</v>
      </c>
      <c r="Q907" t="s">
        <v>40</v>
      </c>
      <c r="T907" s="8">
        <v>60</v>
      </c>
      <c r="X907">
        <v>31162906</v>
      </c>
      <c r="Y907" s="8">
        <v>76.885855000000006</v>
      </c>
      <c r="Z907">
        <v>31162906</v>
      </c>
      <c r="AA907" s="8">
        <v>76.885855000000006</v>
      </c>
      <c r="AB907" t="b">
        <f t="shared" si="14"/>
        <v>0</v>
      </c>
    </row>
    <row r="908" spans="1:28" x14ac:dyDescent="0.3">
      <c r="A908">
        <v>897963</v>
      </c>
      <c r="B908" t="s">
        <v>2168</v>
      </c>
      <c r="C908" t="s">
        <v>1054</v>
      </c>
      <c r="D908" t="s">
        <v>2169</v>
      </c>
      <c r="E908" t="s">
        <v>2170</v>
      </c>
      <c r="G908">
        <v>337244</v>
      </c>
      <c r="H908" t="s">
        <v>2169</v>
      </c>
      <c r="I908" t="s">
        <v>104</v>
      </c>
      <c r="J908" s="5">
        <v>781011403737</v>
      </c>
      <c r="K908">
        <v>31161708</v>
      </c>
      <c r="L908" t="s">
        <v>2170</v>
      </c>
      <c r="M908">
        <v>253355</v>
      </c>
      <c r="N908" t="s">
        <v>2171</v>
      </c>
      <c r="O908" t="s">
        <v>48</v>
      </c>
      <c r="Q908" t="s">
        <v>86</v>
      </c>
      <c r="R908" s="9">
        <v>0.96505571213670904</v>
      </c>
      <c r="S908" s="9">
        <v>90.752785606835403</v>
      </c>
      <c r="T908" s="9">
        <v>92.752785606835403</v>
      </c>
      <c r="U908" s="8">
        <v>100</v>
      </c>
      <c r="V908" t="s">
        <v>104</v>
      </c>
      <c r="W908" s="8">
        <v>96.623570000000001</v>
      </c>
      <c r="X908">
        <v>31161708</v>
      </c>
      <c r="Y908" s="8">
        <v>96.623570000000001</v>
      </c>
      <c r="Z908">
        <v>31161708</v>
      </c>
      <c r="AA908" s="8">
        <v>96.623570000000001</v>
      </c>
      <c r="AB908" t="b">
        <f t="shared" si="14"/>
        <v>0</v>
      </c>
    </row>
    <row r="909" spans="1:28" x14ac:dyDescent="0.3">
      <c r="A909">
        <v>897964</v>
      </c>
      <c r="B909" t="s">
        <v>2230</v>
      </c>
      <c r="C909" t="s">
        <v>1841</v>
      </c>
      <c r="D909" t="s">
        <v>2231</v>
      </c>
      <c r="E909" t="s">
        <v>2232</v>
      </c>
      <c r="O909" t="s">
        <v>45</v>
      </c>
      <c r="P909" t="s">
        <v>42</v>
      </c>
      <c r="Q909" t="s">
        <v>51</v>
      </c>
      <c r="T909" s="8">
        <v>50</v>
      </c>
      <c r="X909">
        <v>39121700</v>
      </c>
      <c r="Y909" s="9">
        <v>63.302279999999897</v>
      </c>
      <c r="Z909">
        <v>39121700</v>
      </c>
      <c r="AA909" s="9">
        <v>63.302279999999897</v>
      </c>
      <c r="AB909" t="b">
        <f t="shared" si="14"/>
        <v>0</v>
      </c>
    </row>
    <row r="910" spans="1:28" x14ac:dyDescent="0.3">
      <c r="A910">
        <v>897965</v>
      </c>
      <c r="B910" t="s">
        <v>2242</v>
      </c>
      <c r="C910" t="s">
        <v>2137</v>
      </c>
      <c r="X910">
        <v>39131705</v>
      </c>
      <c r="Y910" s="8">
        <v>79.189490000000006</v>
      </c>
      <c r="Z910">
        <v>39131705</v>
      </c>
      <c r="AA910" s="8">
        <v>79.189490000000006</v>
      </c>
      <c r="AB910" t="b">
        <f t="shared" si="14"/>
        <v>0</v>
      </c>
    </row>
    <row r="911" spans="1:28" x14ac:dyDescent="0.3">
      <c r="A911">
        <v>897966</v>
      </c>
      <c r="B911" t="s">
        <v>2243</v>
      </c>
      <c r="C911" t="s">
        <v>2167</v>
      </c>
      <c r="D911" t="s">
        <v>2244</v>
      </c>
      <c r="G911">
        <v>322176</v>
      </c>
      <c r="H911" t="s">
        <v>2244</v>
      </c>
      <c r="I911" t="s">
        <v>221</v>
      </c>
      <c r="J911" s="5">
        <v>751338041714</v>
      </c>
      <c r="K911">
        <v>31162905</v>
      </c>
      <c r="M911">
        <v>219555</v>
      </c>
      <c r="N911" t="s">
        <v>2245</v>
      </c>
      <c r="O911" t="s">
        <v>221</v>
      </c>
      <c r="Q911" t="s">
        <v>86</v>
      </c>
      <c r="R911" s="9">
        <v>0.832830634344911</v>
      </c>
      <c r="S911" s="8">
        <v>100</v>
      </c>
      <c r="T911" s="9">
        <v>98.141531717245499</v>
      </c>
      <c r="U911" s="8">
        <v>100</v>
      </c>
      <c r="X911">
        <v>31162905</v>
      </c>
      <c r="Y911" s="8">
        <v>85.677379999999999</v>
      </c>
      <c r="Z911">
        <v>31162905</v>
      </c>
      <c r="AA911" s="8">
        <v>85.677379999999999</v>
      </c>
      <c r="AB911" t="b">
        <f t="shared" si="14"/>
        <v>0</v>
      </c>
    </row>
    <row r="912" spans="1:28" x14ac:dyDescent="0.3">
      <c r="A912">
        <v>897967</v>
      </c>
      <c r="B912" t="s">
        <v>1905</v>
      </c>
      <c r="C912" t="s">
        <v>1841</v>
      </c>
      <c r="D912" t="s">
        <v>1906</v>
      </c>
      <c r="E912" t="s">
        <v>1907</v>
      </c>
      <c r="O912" t="s">
        <v>227</v>
      </c>
      <c r="P912" t="s">
        <v>223</v>
      </c>
      <c r="Q912" t="s">
        <v>40</v>
      </c>
      <c r="T912" s="8">
        <v>60</v>
      </c>
      <c r="V912" t="s">
        <v>1845</v>
      </c>
      <c r="W912" s="8">
        <v>94.512635000000003</v>
      </c>
      <c r="X912">
        <v>31162906</v>
      </c>
      <c r="Y912" s="8">
        <v>94.512635000000003</v>
      </c>
      <c r="Z912">
        <v>31162906</v>
      </c>
      <c r="AA912" s="8">
        <v>94.002965000000003</v>
      </c>
      <c r="AB912" t="b">
        <f t="shared" si="14"/>
        <v>0</v>
      </c>
    </row>
    <row r="913" spans="1:28" x14ac:dyDescent="0.3">
      <c r="A913">
        <v>897968</v>
      </c>
      <c r="B913" t="s">
        <v>2233</v>
      </c>
      <c r="C913" t="s">
        <v>2234</v>
      </c>
      <c r="D913" t="s">
        <v>2235</v>
      </c>
      <c r="O913" t="s">
        <v>2234</v>
      </c>
      <c r="P913" t="s">
        <v>2234</v>
      </c>
      <c r="Q913" t="s">
        <v>40</v>
      </c>
      <c r="T913" s="8">
        <v>70</v>
      </c>
      <c r="X913">
        <v>27113100</v>
      </c>
      <c r="Y913" s="8">
        <v>80.095464000000007</v>
      </c>
      <c r="Z913">
        <v>27113100</v>
      </c>
      <c r="AA913" s="8">
        <v>80.095464000000007</v>
      </c>
      <c r="AB913" t="b">
        <f t="shared" si="14"/>
        <v>0</v>
      </c>
    </row>
    <row r="914" spans="1:28" x14ac:dyDescent="0.3">
      <c r="A914">
        <v>897969</v>
      </c>
      <c r="B914" t="s">
        <v>2276</v>
      </c>
      <c r="C914" t="s">
        <v>2137</v>
      </c>
      <c r="X914">
        <v>31161620</v>
      </c>
      <c r="Y914" s="9">
        <v>59.552313749999897</v>
      </c>
      <c r="Z914">
        <v>31161620</v>
      </c>
      <c r="AA914" s="9">
        <v>59.552313749999897</v>
      </c>
      <c r="AB914" t="b">
        <f t="shared" si="14"/>
        <v>0</v>
      </c>
    </row>
    <row r="915" spans="1:28" x14ac:dyDescent="0.3">
      <c r="A915">
        <v>897970</v>
      </c>
      <c r="B915" t="s">
        <v>2237</v>
      </c>
      <c r="C915" t="s">
        <v>2137</v>
      </c>
      <c r="X915">
        <v>31161501</v>
      </c>
      <c r="Y915" s="8">
        <v>59.900200499999997</v>
      </c>
      <c r="Z915">
        <v>31161501</v>
      </c>
      <c r="AA915" s="8">
        <v>59.900200499999997</v>
      </c>
      <c r="AB915" t="b">
        <f t="shared" si="14"/>
        <v>0</v>
      </c>
    </row>
    <row r="916" spans="1:28" x14ac:dyDescent="0.3">
      <c r="A916">
        <v>897971</v>
      </c>
      <c r="B916" t="s">
        <v>2238</v>
      </c>
      <c r="C916" t="s">
        <v>2137</v>
      </c>
      <c r="X916">
        <v>31161620</v>
      </c>
      <c r="Y916" s="8">
        <v>60.042947249999997</v>
      </c>
      <c r="Z916">
        <v>31161620</v>
      </c>
      <c r="AA916" s="8">
        <v>60.039679499999998</v>
      </c>
      <c r="AB916" t="b">
        <f t="shared" si="14"/>
        <v>0</v>
      </c>
    </row>
    <row r="917" spans="1:28" x14ac:dyDescent="0.3">
      <c r="A917">
        <v>897972</v>
      </c>
      <c r="B917" t="s">
        <v>2239</v>
      </c>
      <c r="C917" t="s">
        <v>2137</v>
      </c>
      <c r="X917">
        <v>31161727</v>
      </c>
      <c r="Y917" s="8">
        <v>82.001540000000006</v>
      </c>
      <c r="Z917">
        <v>31161727</v>
      </c>
      <c r="AA917" s="8">
        <v>82.001540000000006</v>
      </c>
      <c r="AB917" t="b">
        <f t="shared" si="14"/>
        <v>0</v>
      </c>
    </row>
    <row r="918" spans="1:28" x14ac:dyDescent="0.3">
      <c r="A918">
        <v>897973</v>
      </c>
      <c r="B918" t="s">
        <v>2240</v>
      </c>
      <c r="C918" t="s">
        <v>2137</v>
      </c>
      <c r="X918">
        <v>31161807</v>
      </c>
      <c r="Y918" s="9">
        <v>79.931259999999995</v>
      </c>
      <c r="Z918">
        <v>31161807</v>
      </c>
      <c r="AA918" s="8">
        <v>79.888369999999995</v>
      </c>
      <c r="AB918" t="b">
        <f t="shared" si="14"/>
        <v>0</v>
      </c>
    </row>
    <row r="919" spans="1:28" x14ac:dyDescent="0.3">
      <c r="A919">
        <v>897974</v>
      </c>
      <c r="B919" t="s">
        <v>2180</v>
      </c>
      <c r="C919" t="s">
        <v>2137</v>
      </c>
      <c r="X919">
        <v>31161801</v>
      </c>
      <c r="Y919" s="8">
        <v>64.937039999999996</v>
      </c>
      <c r="Z919">
        <v>31161801</v>
      </c>
      <c r="AA919" s="8">
        <v>64.937039999999996</v>
      </c>
      <c r="AB919" t="b">
        <f t="shared" si="14"/>
        <v>0</v>
      </c>
    </row>
    <row r="920" spans="1:28" x14ac:dyDescent="0.3">
      <c r="A920">
        <v>897975</v>
      </c>
      <c r="B920" t="s">
        <v>2166</v>
      </c>
      <c r="C920" t="s">
        <v>2167</v>
      </c>
      <c r="X920">
        <v>31161812</v>
      </c>
      <c r="Y920" s="8">
        <v>81.046533999999994</v>
      </c>
      <c r="Z920">
        <v>31161812</v>
      </c>
      <c r="AA920" s="8">
        <v>81.046533999999994</v>
      </c>
      <c r="AB920" t="b">
        <f t="shared" si="14"/>
        <v>0</v>
      </c>
    </row>
    <row r="921" spans="1:28" x14ac:dyDescent="0.3">
      <c r="A921">
        <v>897976</v>
      </c>
      <c r="B921" t="s">
        <v>2168</v>
      </c>
      <c r="C921" t="s">
        <v>1054</v>
      </c>
      <c r="D921" t="s">
        <v>2169</v>
      </c>
      <c r="E921" t="s">
        <v>2170</v>
      </c>
      <c r="G921">
        <v>337244</v>
      </c>
      <c r="H921" t="s">
        <v>2169</v>
      </c>
      <c r="I921" t="s">
        <v>104</v>
      </c>
      <c r="J921" s="5">
        <v>781011403737</v>
      </c>
      <c r="K921">
        <v>31161708</v>
      </c>
      <c r="L921" t="s">
        <v>2170</v>
      </c>
      <c r="M921">
        <v>253355</v>
      </c>
      <c r="N921" t="s">
        <v>2171</v>
      </c>
      <c r="O921" t="s">
        <v>48</v>
      </c>
      <c r="Q921" t="s">
        <v>86</v>
      </c>
      <c r="R921" s="9">
        <v>0.96505571213670904</v>
      </c>
      <c r="S921" s="9">
        <v>90.752785606835403</v>
      </c>
      <c r="T921" s="9">
        <v>92.752785606835403</v>
      </c>
      <c r="U921" s="8">
        <v>100</v>
      </c>
      <c r="V921" t="s">
        <v>104</v>
      </c>
      <c r="W921" s="8">
        <v>96.623570000000001</v>
      </c>
      <c r="X921">
        <v>31161708</v>
      </c>
      <c r="Y921" s="8">
        <v>96.623570000000001</v>
      </c>
      <c r="Z921">
        <v>31161708</v>
      </c>
      <c r="AA921" s="8">
        <v>96.623570000000001</v>
      </c>
      <c r="AB921" t="b">
        <f t="shared" si="14"/>
        <v>0</v>
      </c>
    </row>
    <row r="922" spans="1:28" x14ac:dyDescent="0.3">
      <c r="A922">
        <v>897977</v>
      </c>
      <c r="B922" t="s">
        <v>2242</v>
      </c>
      <c r="C922" t="s">
        <v>2137</v>
      </c>
      <c r="X922">
        <v>39131705</v>
      </c>
      <c r="Y922" s="8">
        <v>79.189490000000006</v>
      </c>
      <c r="Z922">
        <v>39131705</v>
      </c>
      <c r="AA922" s="8">
        <v>79.189490000000006</v>
      </c>
      <c r="AB922" t="b">
        <f t="shared" si="14"/>
        <v>0</v>
      </c>
    </row>
    <row r="923" spans="1:28" x14ac:dyDescent="0.3">
      <c r="A923">
        <v>897978</v>
      </c>
      <c r="B923" t="s">
        <v>2243</v>
      </c>
      <c r="C923" t="s">
        <v>2167</v>
      </c>
      <c r="D923" t="s">
        <v>2244</v>
      </c>
      <c r="G923">
        <v>322176</v>
      </c>
      <c r="H923" t="s">
        <v>2244</v>
      </c>
      <c r="I923" t="s">
        <v>221</v>
      </c>
      <c r="J923" s="5">
        <v>751338041714</v>
      </c>
      <c r="K923">
        <v>31162905</v>
      </c>
      <c r="M923">
        <v>219555</v>
      </c>
      <c r="N923" t="s">
        <v>2245</v>
      </c>
      <c r="O923" t="s">
        <v>221</v>
      </c>
      <c r="Q923" t="s">
        <v>86</v>
      </c>
      <c r="R923" s="9">
        <v>0.832830634344911</v>
      </c>
      <c r="S923" s="8">
        <v>100</v>
      </c>
      <c r="T923" s="9">
        <v>98.141531717245499</v>
      </c>
      <c r="U923" s="8">
        <v>100</v>
      </c>
      <c r="X923">
        <v>31162905</v>
      </c>
      <c r="Y923" s="8">
        <v>85.677379999999999</v>
      </c>
      <c r="Z923">
        <v>31162905</v>
      </c>
      <c r="AA923" s="8">
        <v>85.677379999999999</v>
      </c>
      <c r="AB923" t="b">
        <f t="shared" si="14"/>
        <v>0</v>
      </c>
    </row>
    <row r="924" spans="1:28" x14ac:dyDescent="0.3">
      <c r="A924">
        <v>897979</v>
      </c>
      <c r="B924" t="s">
        <v>2280</v>
      </c>
      <c r="C924" t="s">
        <v>2130</v>
      </c>
      <c r="D924" t="s">
        <v>2281</v>
      </c>
      <c r="AB924" t="b">
        <f t="shared" si="14"/>
        <v>0</v>
      </c>
    </row>
    <row r="925" spans="1:28" x14ac:dyDescent="0.3">
      <c r="A925">
        <v>897980</v>
      </c>
      <c r="B925" t="s">
        <v>1245</v>
      </c>
      <c r="C925" t="s">
        <v>1062</v>
      </c>
      <c r="D925" t="s">
        <v>1246</v>
      </c>
      <c r="E925" t="s">
        <v>1247</v>
      </c>
      <c r="G925">
        <v>336220</v>
      </c>
      <c r="H925" t="s">
        <v>1248</v>
      </c>
      <c r="I925" t="s">
        <v>578</v>
      </c>
      <c r="J925" s="6" t="s">
        <v>1249</v>
      </c>
      <c r="K925">
        <v>39121406</v>
      </c>
      <c r="L925" t="s">
        <v>1247</v>
      </c>
      <c r="M925">
        <v>262728</v>
      </c>
      <c r="N925" t="s">
        <v>1250</v>
      </c>
      <c r="O925" t="s">
        <v>578</v>
      </c>
      <c r="P925" t="s">
        <v>1062</v>
      </c>
      <c r="Q925" t="s">
        <v>40</v>
      </c>
      <c r="R925" s="9">
        <v>0.97209286152476604</v>
      </c>
      <c r="S925" s="8">
        <v>0</v>
      </c>
      <c r="T925" s="8">
        <v>100</v>
      </c>
      <c r="U925" s="8">
        <v>100</v>
      </c>
      <c r="V925" t="s">
        <v>578</v>
      </c>
      <c r="W925" s="8">
        <v>97.285049999999998</v>
      </c>
      <c r="X925">
        <v>39121406</v>
      </c>
      <c r="Y925" s="8">
        <v>97.285049999999998</v>
      </c>
      <c r="Z925">
        <v>39121406</v>
      </c>
      <c r="AA925" s="8">
        <v>97.285049999999998</v>
      </c>
      <c r="AB925" t="b">
        <f t="shared" si="14"/>
        <v>0</v>
      </c>
    </row>
    <row r="926" spans="1:28" x14ac:dyDescent="0.3">
      <c r="A926">
        <v>897981</v>
      </c>
      <c r="B926" t="s">
        <v>2282</v>
      </c>
      <c r="C926" t="s">
        <v>2152</v>
      </c>
      <c r="D926" t="s">
        <v>2283</v>
      </c>
      <c r="X926">
        <v>39121304</v>
      </c>
      <c r="Y926" s="8">
        <v>78.988129999999998</v>
      </c>
      <c r="Z926">
        <v>39121304</v>
      </c>
      <c r="AA926" s="8">
        <v>78.988129999999998</v>
      </c>
      <c r="AB926" t="b">
        <f t="shared" si="14"/>
        <v>0</v>
      </c>
    </row>
    <row r="927" spans="1:28" x14ac:dyDescent="0.3">
      <c r="A927">
        <v>897982</v>
      </c>
      <c r="B927" t="s">
        <v>2284</v>
      </c>
      <c r="C927" t="s">
        <v>1090</v>
      </c>
      <c r="D927" t="s">
        <v>2285</v>
      </c>
      <c r="E927" t="s">
        <v>2286</v>
      </c>
      <c r="G927">
        <v>339578</v>
      </c>
      <c r="H927" t="s">
        <v>2287</v>
      </c>
      <c r="I927" t="s">
        <v>603</v>
      </c>
      <c r="J927" s="5">
        <v>783250572748</v>
      </c>
      <c r="K927">
        <v>39121703</v>
      </c>
      <c r="L927" t="s">
        <v>2286</v>
      </c>
      <c r="M927">
        <v>260757</v>
      </c>
      <c r="N927" t="s">
        <v>2288</v>
      </c>
      <c r="O927" t="s">
        <v>603</v>
      </c>
      <c r="Q927" t="s">
        <v>86</v>
      </c>
      <c r="R927" s="9">
        <v>0.94080463091854205</v>
      </c>
      <c r="S927" s="9">
        <v>89.540231545927099</v>
      </c>
      <c r="T927" s="9">
        <v>91.540231545927099</v>
      </c>
      <c r="U927" s="8">
        <v>100</v>
      </c>
      <c r="V927" t="s">
        <v>603</v>
      </c>
      <c r="W927" s="9">
        <v>94.411295999999993</v>
      </c>
      <c r="X927">
        <v>39121703</v>
      </c>
      <c r="Y927" s="9">
        <v>94.411295999999993</v>
      </c>
      <c r="Z927">
        <v>39121703</v>
      </c>
      <c r="AA927" s="9">
        <v>94.411295999999993</v>
      </c>
      <c r="AB927" t="b">
        <f t="shared" si="14"/>
        <v>0</v>
      </c>
    </row>
    <row r="928" spans="1:28" x14ac:dyDescent="0.3">
      <c r="A928">
        <v>897983</v>
      </c>
      <c r="B928" t="s">
        <v>2289</v>
      </c>
      <c r="C928" t="s">
        <v>2257</v>
      </c>
      <c r="O928" t="s">
        <v>45</v>
      </c>
      <c r="P928" t="s">
        <v>2290</v>
      </c>
      <c r="Q928" t="s">
        <v>40</v>
      </c>
      <c r="T928" s="8">
        <v>100</v>
      </c>
      <c r="X928">
        <v>39121700</v>
      </c>
      <c r="Y928" s="9">
        <v>80.511269999999996</v>
      </c>
      <c r="Z928">
        <v>39121700</v>
      </c>
      <c r="AA928" s="9">
        <v>80.511269999999996</v>
      </c>
      <c r="AB928" t="b">
        <f t="shared" si="14"/>
        <v>0</v>
      </c>
    </row>
    <row r="929" spans="1:28" x14ac:dyDescent="0.3">
      <c r="A929">
        <v>897984</v>
      </c>
      <c r="B929" t="s">
        <v>2291</v>
      </c>
      <c r="C929" t="s">
        <v>2167</v>
      </c>
      <c r="F929">
        <v>8040952553</v>
      </c>
      <c r="AB929" t="b">
        <f t="shared" si="14"/>
        <v>0</v>
      </c>
    </row>
    <row r="930" spans="1:28" ht="57.6" x14ac:dyDescent="0.3">
      <c r="A930">
        <v>897985</v>
      </c>
      <c r="B930" s="2" t="s">
        <v>2292</v>
      </c>
      <c r="C930" t="s">
        <v>2152</v>
      </c>
      <c r="F930">
        <v>8040952553</v>
      </c>
      <c r="AB930" t="b">
        <f t="shared" si="14"/>
        <v>0</v>
      </c>
    </row>
    <row r="931" spans="1:28" x14ac:dyDescent="0.3">
      <c r="A931">
        <v>897986</v>
      </c>
      <c r="B931" t="s">
        <v>2293</v>
      </c>
      <c r="C931" t="s">
        <v>2135</v>
      </c>
      <c r="F931">
        <v>8040952553</v>
      </c>
      <c r="AB931" t="b">
        <f t="shared" si="14"/>
        <v>0</v>
      </c>
    </row>
    <row r="932" spans="1:28" ht="72" x14ac:dyDescent="0.3">
      <c r="A932">
        <v>897987</v>
      </c>
      <c r="B932" s="2" t="s">
        <v>2294</v>
      </c>
      <c r="C932" t="s">
        <v>2135</v>
      </c>
      <c r="F932">
        <v>8040952553</v>
      </c>
      <c r="X932">
        <v>31161801</v>
      </c>
      <c r="Y932" s="8">
        <v>79.759979999999999</v>
      </c>
      <c r="Z932">
        <v>31161801</v>
      </c>
      <c r="AA932" s="8">
        <v>79.759979999999999</v>
      </c>
      <c r="AB932" t="b">
        <f t="shared" si="14"/>
        <v>0</v>
      </c>
    </row>
    <row r="933" spans="1:28" x14ac:dyDescent="0.3">
      <c r="A933">
        <v>897988</v>
      </c>
      <c r="B933" t="s">
        <v>2138</v>
      </c>
      <c r="C933" t="s">
        <v>2135</v>
      </c>
      <c r="X933">
        <v>39121700</v>
      </c>
      <c r="Y933" s="8">
        <v>64.340655999999996</v>
      </c>
      <c r="Z933">
        <v>39121700</v>
      </c>
      <c r="AA933" s="9">
        <v>64.340639999999993</v>
      </c>
      <c r="AB933" t="b">
        <f t="shared" si="14"/>
        <v>0</v>
      </c>
    </row>
    <row r="934" spans="1:28" x14ac:dyDescent="0.3">
      <c r="A934">
        <v>897989</v>
      </c>
      <c r="B934" t="s">
        <v>2163</v>
      </c>
      <c r="C934" t="s">
        <v>2164</v>
      </c>
      <c r="X934">
        <v>31161708</v>
      </c>
      <c r="Y934" s="8">
        <v>78.578850000000003</v>
      </c>
      <c r="Z934">
        <v>31161708</v>
      </c>
      <c r="AA934" s="8">
        <v>78.578850000000003</v>
      </c>
      <c r="AB934" t="b">
        <f t="shared" si="14"/>
        <v>0</v>
      </c>
    </row>
    <row r="935" spans="1:28" x14ac:dyDescent="0.3">
      <c r="A935">
        <v>897990</v>
      </c>
      <c r="B935" t="s">
        <v>2157</v>
      </c>
      <c r="C935" t="s">
        <v>1841</v>
      </c>
      <c r="D935" t="s">
        <v>2158</v>
      </c>
      <c r="E935" t="s">
        <v>2159</v>
      </c>
      <c r="G935">
        <v>341260</v>
      </c>
      <c r="H935" t="s">
        <v>2160</v>
      </c>
      <c r="I935" t="s">
        <v>1845</v>
      </c>
      <c r="J935" s="5">
        <v>702316501416</v>
      </c>
      <c r="K935">
        <v>31161800</v>
      </c>
      <c r="L935" t="s">
        <v>2159</v>
      </c>
      <c r="M935">
        <v>265821</v>
      </c>
      <c r="N935" t="s">
        <v>2161</v>
      </c>
      <c r="O935" t="s">
        <v>1845</v>
      </c>
      <c r="Q935" t="s">
        <v>75</v>
      </c>
      <c r="R935" s="9">
        <v>0.84579477217677701</v>
      </c>
      <c r="S935" s="9">
        <v>94.789738608838803</v>
      </c>
      <c r="T935" s="9">
        <v>58.789738608838803</v>
      </c>
      <c r="U935" s="9">
        <v>93.158954435355497</v>
      </c>
      <c r="V935" t="s">
        <v>1845</v>
      </c>
      <c r="W935" s="9">
        <v>86.639709999999994</v>
      </c>
      <c r="X935">
        <v>31161812</v>
      </c>
      <c r="Y935" s="9">
        <v>86.520619999999994</v>
      </c>
      <c r="Z935">
        <v>31161812</v>
      </c>
      <c r="AA935" s="8">
        <v>86.520403999999999</v>
      </c>
      <c r="AB935" t="b">
        <f t="shared" si="14"/>
        <v>0</v>
      </c>
    </row>
    <row r="936" spans="1:28" x14ac:dyDescent="0.3">
      <c r="A936">
        <v>897991</v>
      </c>
      <c r="B936" t="s">
        <v>2295</v>
      </c>
      <c r="C936" t="s">
        <v>2135</v>
      </c>
      <c r="X936">
        <v>31161807</v>
      </c>
      <c r="Y936" s="8">
        <v>64.556308000000001</v>
      </c>
      <c r="Z936">
        <v>31161807</v>
      </c>
      <c r="AA936" s="8">
        <v>64.556308000000001</v>
      </c>
      <c r="AB936" t="b">
        <f t="shared" si="14"/>
        <v>0</v>
      </c>
    </row>
    <row r="937" spans="1:28" x14ac:dyDescent="0.3">
      <c r="A937">
        <v>897992</v>
      </c>
      <c r="B937" t="s">
        <v>2150</v>
      </c>
      <c r="C937" t="s">
        <v>2135</v>
      </c>
      <c r="X937">
        <v>31161801</v>
      </c>
      <c r="Y937" s="8">
        <v>82.477450000000005</v>
      </c>
      <c r="Z937">
        <v>31161801</v>
      </c>
      <c r="AA937" s="8">
        <v>82.477450000000005</v>
      </c>
      <c r="AB937" t="b">
        <f t="shared" si="14"/>
        <v>0</v>
      </c>
    </row>
    <row r="938" spans="1:28" x14ac:dyDescent="0.3">
      <c r="A938">
        <v>897993</v>
      </c>
      <c r="B938" t="s">
        <v>2154</v>
      </c>
      <c r="C938" t="s">
        <v>2135</v>
      </c>
      <c r="X938">
        <v>39120000</v>
      </c>
      <c r="Y938" s="8">
        <v>47.5711656</v>
      </c>
      <c r="Z938">
        <v>39120000</v>
      </c>
      <c r="AA938" s="8">
        <v>47.5711656</v>
      </c>
      <c r="AB938" t="b">
        <f t="shared" si="14"/>
        <v>0</v>
      </c>
    </row>
    <row r="939" spans="1:28" x14ac:dyDescent="0.3">
      <c r="A939">
        <v>897994</v>
      </c>
      <c r="B939" t="s">
        <v>2139</v>
      </c>
      <c r="C939" t="s">
        <v>2135</v>
      </c>
      <c r="X939">
        <v>39121700</v>
      </c>
      <c r="Y939" s="8">
        <v>78.950787000000005</v>
      </c>
      <c r="Z939">
        <v>39121700</v>
      </c>
      <c r="AA939" s="8">
        <v>78.950787000000005</v>
      </c>
      <c r="AB939" t="b">
        <f t="shared" si="14"/>
        <v>0</v>
      </c>
    </row>
    <row r="940" spans="1:28" x14ac:dyDescent="0.3">
      <c r="A940">
        <v>897995</v>
      </c>
      <c r="B940" t="s">
        <v>2296</v>
      </c>
      <c r="D940" t="s">
        <v>2257</v>
      </c>
      <c r="O940" t="s">
        <v>45</v>
      </c>
      <c r="P940" t="s">
        <v>2290</v>
      </c>
      <c r="Q940" t="s">
        <v>40</v>
      </c>
      <c r="T940" s="8">
        <v>100</v>
      </c>
      <c r="X940">
        <v>39121700</v>
      </c>
      <c r="Y940" s="8">
        <v>64.425824000000006</v>
      </c>
      <c r="Z940">
        <v>39121700</v>
      </c>
      <c r="AA940" s="8">
        <v>64.425824000000006</v>
      </c>
      <c r="AB940" t="b">
        <f t="shared" si="14"/>
        <v>0</v>
      </c>
    </row>
    <row r="941" spans="1:28" x14ac:dyDescent="0.3">
      <c r="A941">
        <v>897996</v>
      </c>
      <c r="B941" t="s">
        <v>2297</v>
      </c>
      <c r="C941" t="s">
        <v>1330</v>
      </c>
      <c r="D941" t="s">
        <v>2298</v>
      </c>
      <c r="E941" t="s">
        <v>2299</v>
      </c>
      <c r="O941" t="s">
        <v>216</v>
      </c>
      <c r="P941" t="s">
        <v>1330</v>
      </c>
      <c r="Q941" t="s">
        <v>40</v>
      </c>
      <c r="T941" s="8">
        <v>70</v>
      </c>
      <c r="X941">
        <v>39111501</v>
      </c>
      <c r="Y941" s="9">
        <v>66.660531428571403</v>
      </c>
      <c r="Z941">
        <v>39111501</v>
      </c>
      <c r="AA941" s="9">
        <v>66.660531428571403</v>
      </c>
      <c r="AB941" t="b">
        <f t="shared" si="14"/>
        <v>0</v>
      </c>
    </row>
    <row r="942" spans="1:28" x14ac:dyDescent="0.3">
      <c r="A942">
        <v>897997</v>
      </c>
      <c r="B942" t="s">
        <v>2300</v>
      </c>
      <c r="C942" t="s">
        <v>1109</v>
      </c>
      <c r="D942" t="s">
        <v>2301</v>
      </c>
      <c r="E942" t="s">
        <v>2302</v>
      </c>
      <c r="AB942" t="b">
        <f t="shared" si="14"/>
        <v>0</v>
      </c>
    </row>
    <row r="943" spans="1:28" x14ac:dyDescent="0.3">
      <c r="A943">
        <v>897998</v>
      </c>
      <c r="B943" t="s">
        <v>1245</v>
      </c>
      <c r="C943" t="s">
        <v>1062</v>
      </c>
      <c r="D943" t="s">
        <v>1246</v>
      </c>
      <c r="E943" t="s">
        <v>1247</v>
      </c>
      <c r="G943">
        <v>336220</v>
      </c>
      <c r="H943" t="s">
        <v>1248</v>
      </c>
      <c r="I943" t="s">
        <v>578</v>
      </c>
      <c r="J943" s="6" t="s">
        <v>1249</v>
      </c>
      <c r="K943">
        <v>39121406</v>
      </c>
      <c r="L943" t="s">
        <v>1247</v>
      </c>
      <c r="M943">
        <v>262728</v>
      </c>
      <c r="N943" t="s">
        <v>1250</v>
      </c>
      <c r="O943" t="s">
        <v>578</v>
      </c>
      <c r="P943" t="s">
        <v>1062</v>
      </c>
      <c r="Q943" t="s">
        <v>40</v>
      </c>
      <c r="R943" s="9">
        <v>0.97209286152476604</v>
      </c>
      <c r="S943" s="8">
        <v>0</v>
      </c>
      <c r="T943" s="8">
        <v>100</v>
      </c>
      <c r="U943" s="8">
        <v>100</v>
      </c>
      <c r="V943" t="s">
        <v>578</v>
      </c>
      <c r="W943" s="8">
        <v>97.285049999999998</v>
      </c>
      <c r="X943">
        <v>39121406</v>
      </c>
      <c r="Y943" s="8">
        <v>97.285049999999998</v>
      </c>
      <c r="Z943">
        <v>39121406</v>
      </c>
      <c r="AA943" s="8">
        <v>97.285049999999998</v>
      </c>
      <c r="AB943" t="b">
        <f t="shared" si="14"/>
        <v>0</v>
      </c>
    </row>
    <row r="944" spans="1:28" x14ac:dyDescent="0.3">
      <c r="A944">
        <v>897999</v>
      </c>
      <c r="B944" t="s">
        <v>2303</v>
      </c>
      <c r="C944" t="s">
        <v>1062</v>
      </c>
      <c r="D944" t="s">
        <v>2304</v>
      </c>
      <c r="E944" t="s">
        <v>2305</v>
      </c>
      <c r="G944">
        <v>338011</v>
      </c>
      <c r="H944" t="s">
        <v>2306</v>
      </c>
      <c r="I944" t="s">
        <v>578</v>
      </c>
      <c r="J944" s="6" t="s">
        <v>2307</v>
      </c>
      <c r="K944">
        <v>39121406</v>
      </c>
      <c r="L944" t="s">
        <v>2305</v>
      </c>
      <c r="M944">
        <v>262662</v>
      </c>
      <c r="N944" t="s">
        <v>2308</v>
      </c>
      <c r="O944" t="s">
        <v>578</v>
      </c>
      <c r="P944" t="s">
        <v>1062</v>
      </c>
      <c r="Q944" t="s">
        <v>40</v>
      </c>
      <c r="R944" s="9">
        <v>0.94801230434048001</v>
      </c>
      <c r="S944" s="9">
        <v>30.540792373853002</v>
      </c>
      <c r="T944" s="9">
        <v>56.540792373853002</v>
      </c>
      <c r="U944" s="8">
        <v>100</v>
      </c>
      <c r="V944" t="s">
        <v>578</v>
      </c>
      <c r="W944" s="8">
        <v>95.058149999999998</v>
      </c>
      <c r="X944">
        <v>39121406</v>
      </c>
      <c r="Y944" s="8">
        <v>95.058149999999998</v>
      </c>
      <c r="Z944">
        <v>39121406</v>
      </c>
      <c r="AA944" s="8">
        <v>95.058346</v>
      </c>
      <c r="AB944" t="b">
        <f t="shared" si="14"/>
        <v>0</v>
      </c>
    </row>
    <row r="945" spans="1:28" x14ac:dyDescent="0.3">
      <c r="A945">
        <v>898000</v>
      </c>
      <c r="B945" t="s">
        <v>2309</v>
      </c>
      <c r="C945" t="s">
        <v>1062</v>
      </c>
      <c r="D945" t="s">
        <v>2310</v>
      </c>
      <c r="E945" t="s">
        <v>2311</v>
      </c>
      <c r="G945">
        <v>336700</v>
      </c>
      <c r="H945" t="s">
        <v>2312</v>
      </c>
      <c r="I945" t="s">
        <v>578</v>
      </c>
      <c r="J945" s="6" t="s">
        <v>2313</v>
      </c>
      <c r="K945">
        <v>39121704</v>
      </c>
      <c r="L945" t="s">
        <v>2311</v>
      </c>
      <c r="M945">
        <v>262496</v>
      </c>
      <c r="N945" t="s">
        <v>2314</v>
      </c>
      <c r="O945" t="s">
        <v>578</v>
      </c>
      <c r="P945" t="s">
        <v>1062</v>
      </c>
      <c r="Q945" t="s">
        <v>40</v>
      </c>
      <c r="R945" s="9">
        <v>0.96851566775082798</v>
      </c>
      <c r="S945" s="8">
        <v>100</v>
      </c>
      <c r="T945" s="8">
        <v>100</v>
      </c>
      <c r="U945" s="8">
        <v>100</v>
      </c>
      <c r="V945" t="s">
        <v>578</v>
      </c>
      <c r="W945" s="8">
        <v>96.947664000000003</v>
      </c>
      <c r="X945">
        <v>39121704</v>
      </c>
      <c r="Y945" s="8">
        <v>96.947664000000003</v>
      </c>
      <c r="Z945">
        <v>39121704</v>
      </c>
      <c r="AA945" s="8">
        <v>96.950050000000005</v>
      </c>
      <c r="AB945" t="b">
        <f t="shared" si="14"/>
        <v>0</v>
      </c>
    </row>
    <row r="946" spans="1:28" x14ac:dyDescent="0.3">
      <c r="A946">
        <v>898001</v>
      </c>
      <c r="B946" t="s">
        <v>2315</v>
      </c>
      <c r="C946" t="s">
        <v>1062</v>
      </c>
      <c r="D946" t="s">
        <v>2316</v>
      </c>
      <c r="E946" t="s">
        <v>2317</v>
      </c>
      <c r="G946">
        <v>336209</v>
      </c>
      <c r="H946" t="s">
        <v>2318</v>
      </c>
      <c r="I946" t="s">
        <v>578</v>
      </c>
      <c r="J946" s="6" t="s">
        <v>2319</v>
      </c>
      <c r="K946">
        <v>39121704</v>
      </c>
      <c r="L946" t="s">
        <v>2317</v>
      </c>
      <c r="M946">
        <v>262572</v>
      </c>
      <c r="N946" t="s">
        <v>2320</v>
      </c>
      <c r="O946" t="s">
        <v>578</v>
      </c>
      <c r="P946" t="s">
        <v>1062</v>
      </c>
      <c r="Q946" t="s">
        <v>40</v>
      </c>
      <c r="R946" s="9">
        <v>0.98885837477203897</v>
      </c>
      <c r="S946" s="8">
        <v>100</v>
      </c>
      <c r="T946" s="8">
        <v>100</v>
      </c>
      <c r="U946" s="8">
        <v>100</v>
      </c>
      <c r="V946" t="s">
        <v>578</v>
      </c>
      <c r="W946" s="9">
        <v>98.898136999999906</v>
      </c>
      <c r="X946">
        <v>39121704</v>
      </c>
      <c r="Y946" s="9">
        <v>98.898136999999906</v>
      </c>
      <c r="Z946">
        <v>39121704</v>
      </c>
      <c r="AA946" s="9">
        <v>98.898136999999906</v>
      </c>
      <c r="AB946" t="b">
        <f t="shared" si="14"/>
        <v>0</v>
      </c>
    </row>
    <row r="947" spans="1:28" ht="57.6" x14ac:dyDescent="0.3">
      <c r="A947">
        <v>898002</v>
      </c>
      <c r="B947" s="2" t="s">
        <v>1959</v>
      </c>
      <c r="C947" t="s">
        <v>1960</v>
      </c>
      <c r="D947" t="s">
        <v>1961</v>
      </c>
      <c r="O947" t="s">
        <v>907</v>
      </c>
      <c r="P947" t="s">
        <v>907</v>
      </c>
      <c r="Q947" t="s">
        <v>40</v>
      </c>
      <c r="T947" s="8">
        <v>80</v>
      </c>
      <c r="AB947" t="b">
        <f t="shared" si="14"/>
        <v>0</v>
      </c>
    </row>
    <row r="948" spans="1:28" x14ac:dyDescent="0.3">
      <c r="A948">
        <v>898003</v>
      </c>
      <c r="B948" t="s">
        <v>2022</v>
      </c>
      <c r="C948" t="s">
        <v>1054</v>
      </c>
      <c r="D948" t="s">
        <v>2023</v>
      </c>
      <c r="E948" t="s">
        <v>2024</v>
      </c>
      <c r="G948">
        <v>337198</v>
      </c>
      <c r="H948" t="s">
        <v>2023</v>
      </c>
      <c r="I948" t="s">
        <v>104</v>
      </c>
      <c r="J948" s="5">
        <v>781011608439</v>
      </c>
      <c r="K948">
        <v>31162906</v>
      </c>
      <c r="L948" t="s">
        <v>2024</v>
      </c>
      <c r="M948">
        <v>253190</v>
      </c>
      <c r="N948" t="s">
        <v>2025</v>
      </c>
      <c r="O948" t="s">
        <v>48</v>
      </c>
      <c r="Q948" t="s">
        <v>75</v>
      </c>
      <c r="R948" s="9">
        <v>0.84095478365672405</v>
      </c>
      <c r="S948" s="9">
        <v>79.547739182836196</v>
      </c>
      <c r="T948" s="9">
        <v>49.547739182836203</v>
      </c>
      <c r="U948" s="9">
        <v>83.190956731344897</v>
      </c>
      <c r="V948" t="s">
        <v>104</v>
      </c>
      <c r="W948" s="9">
        <v>89.555859999999996</v>
      </c>
      <c r="X948">
        <v>31162906</v>
      </c>
      <c r="Y948" s="9">
        <v>89.555859999999996</v>
      </c>
      <c r="Z948">
        <v>31162906</v>
      </c>
      <c r="AA948" s="9">
        <v>89.557719999999904</v>
      </c>
      <c r="AB948" t="b">
        <f t="shared" si="14"/>
        <v>0</v>
      </c>
    </row>
    <row r="949" spans="1:28" x14ac:dyDescent="0.3">
      <c r="A949">
        <v>898004</v>
      </c>
      <c r="B949" t="s">
        <v>2321</v>
      </c>
      <c r="C949" t="s">
        <v>1102</v>
      </c>
      <c r="D949" t="s">
        <v>1580</v>
      </c>
      <c r="E949" t="s">
        <v>1581</v>
      </c>
      <c r="G949">
        <v>337869</v>
      </c>
      <c r="H949" t="s">
        <v>1580</v>
      </c>
      <c r="I949" t="s">
        <v>308</v>
      </c>
      <c r="J949" s="5">
        <v>786189104042</v>
      </c>
      <c r="K949">
        <v>39121308</v>
      </c>
      <c r="L949" t="s">
        <v>1581</v>
      </c>
      <c r="M949">
        <v>256426</v>
      </c>
      <c r="N949" t="s">
        <v>2322</v>
      </c>
      <c r="O949" t="s">
        <v>308</v>
      </c>
      <c r="Q949" t="s">
        <v>86</v>
      </c>
      <c r="R949" s="9">
        <v>0.85096288669991005</v>
      </c>
      <c r="S949" s="9">
        <v>80.048144334995499</v>
      </c>
      <c r="T949" s="9">
        <v>84.048144334995499</v>
      </c>
      <c r="U949" s="9">
        <v>89.192577339982094</v>
      </c>
      <c r="V949" t="s">
        <v>308</v>
      </c>
      <c r="W949" s="8">
        <v>90.832120000000003</v>
      </c>
      <c r="X949">
        <v>39121308</v>
      </c>
      <c r="Y949" s="8">
        <v>90.832120000000003</v>
      </c>
      <c r="Z949">
        <v>39121308</v>
      </c>
      <c r="AA949" s="9">
        <v>90.832169999999905</v>
      </c>
      <c r="AB949" t="b">
        <f t="shared" si="14"/>
        <v>0</v>
      </c>
    </row>
    <row r="950" spans="1:28" x14ac:dyDescent="0.3">
      <c r="A950">
        <v>898005</v>
      </c>
      <c r="B950" t="s">
        <v>2323</v>
      </c>
      <c r="C950" t="s">
        <v>1117</v>
      </c>
      <c r="D950" t="s">
        <v>2324</v>
      </c>
      <c r="E950" t="s">
        <v>2325</v>
      </c>
      <c r="X950">
        <v>39121300</v>
      </c>
      <c r="Y950" s="9">
        <v>68.146048888888799</v>
      </c>
      <c r="Z950">
        <v>39121300</v>
      </c>
      <c r="AA950" s="9">
        <v>68.146048888888799</v>
      </c>
      <c r="AB950" t="b">
        <f t="shared" si="14"/>
        <v>0</v>
      </c>
    </row>
    <row r="951" spans="1:28" ht="43.2" x14ac:dyDescent="0.3">
      <c r="A951">
        <v>898006</v>
      </c>
      <c r="B951" s="2" t="s">
        <v>2326</v>
      </c>
      <c r="C951" t="s">
        <v>1102</v>
      </c>
      <c r="D951" t="s">
        <v>2327</v>
      </c>
      <c r="E951" t="s">
        <v>2328</v>
      </c>
      <c r="G951">
        <v>337858</v>
      </c>
      <c r="H951" t="s">
        <v>2327</v>
      </c>
      <c r="I951" t="s">
        <v>308</v>
      </c>
      <c r="J951" s="5">
        <v>786189102529</v>
      </c>
      <c r="K951">
        <v>39121306</v>
      </c>
      <c r="L951" t="s">
        <v>2328</v>
      </c>
      <c r="M951">
        <v>256408</v>
      </c>
      <c r="N951" t="s">
        <v>2329</v>
      </c>
      <c r="O951" t="s">
        <v>308</v>
      </c>
      <c r="Q951" t="s">
        <v>86</v>
      </c>
      <c r="R951" s="9">
        <v>0.83023227423761403</v>
      </c>
      <c r="S951" s="9">
        <v>79.011613711880699</v>
      </c>
      <c r="T951" s="9">
        <v>83.011613711880699</v>
      </c>
      <c r="U951" s="9">
        <v>85.046454847522895</v>
      </c>
      <c r="V951" t="s">
        <v>308</v>
      </c>
      <c r="W951" s="8">
        <v>85.487055999999995</v>
      </c>
      <c r="X951">
        <v>39121306</v>
      </c>
      <c r="Y951" s="8">
        <v>85.487055999999995</v>
      </c>
      <c r="Z951">
        <v>39121306</v>
      </c>
      <c r="AA951" s="8">
        <v>85.487055999999995</v>
      </c>
      <c r="AB951" t="b">
        <f t="shared" si="14"/>
        <v>0</v>
      </c>
    </row>
    <row r="952" spans="1:28" x14ac:dyDescent="0.3">
      <c r="A952">
        <v>898007</v>
      </c>
      <c r="B952" t="s">
        <v>2330</v>
      </c>
      <c r="C952" t="s">
        <v>1163</v>
      </c>
      <c r="D952">
        <v>3210</v>
      </c>
      <c r="E952" t="s">
        <v>2043</v>
      </c>
      <c r="X952">
        <v>39121312</v>
      </c>
      <c r="Y952" s="9">
        <v>60.6321119999999</v>
      </c>
      <c r="Z952">
        <v>39121312</v>
      </c>
      <c r="AA952" s="8">
        <v>60.631323199999997</v>
      </c>
      <c r="AB952" t="b">
        <f t="shared" si="14"/>
        <v>0</v>
      </c>
    </row>
    <row r="953" spans="1:28" x14ac:dyDescent="0.3">
      <c r="A953">
        <v>898008</v>
      </c>
      <c r="B953" t="s">
        <v>2331</v>
      </c>
      <c r="X953">
        <v>27110000</v>
      </c>
      <c r="Y953" s="8">
        <v>45.603149999999999</v>
      </c>
      <c r="Z953">
        <v>27110000</v>
      </c>
      <c r="AA953" s="8">
        <v>45.603149999999999</v>
      </c>
      <c r="AB953" t="b">
        <f t="shared" si="14"/>
        <v>0</v>
      </c>
    </row>
    <row r="954" spans="1:28" x14ac:dyDescent="0.3">
      <c r="A954">
        <v>898009</v>
      </c>
      <c r="B954" t="s">
        <v>2332</v>
      </c>
      <c r="X954">
        <v>31161620</v>
      </c>
      <c r="Y954" s="9">
        <v>60.804495999999901</v>
      </c>
      <c r="Z954">
        <v>31161620</v>
      </c>
      <c r="AA954" s="9">
        <v>60.804495999999901</v>
      </c>
      <c r="AB954" t="b">
        <f t="shared" si="14"/>
        <v>0</v>
      </c>
    </row>
    <row r="955" spans="1:28" x14ac:dyDescent="0.3">
      <c r="A955">
        <v>898010</v>
      </c>
      <c r="B955" t="s">
        <v>2333</v>
      </c>
      <c r="AB955" t="b">
        <f t="shared" si="14"/>
        <v>0</v>
      </c>
    </row>
    <row r="956" spans="1:28" x14ac:dyDescent="0.3">
      <c r="A956">
        <v>898011</v>
      </c>
      <c r="B956" t="s">
        <v>2334</v>
      </c>
      <c r="X956">
        <v>27112100</v>
      </c>
      <c r="Y956" s="9">
        <v>68.554162666666599</v>
      </c>
      <c r="Z956">
        <v>27112100</v>
      </c>
      <c r="AA956" s="9">
        <v>68.554162666666599</v>
      </c>
      <c r="AB956" t="b">
        <f t="shared" si="14"/>
        <v>0</v>
      </c>
    </row>
    <row r="957" spans="1:28" x14ac:dyDescent="0.3">
      <c r="A957">
        <v>898012</v>
      </c>
      <c r="B957" t="s">
        <v>2335</v>
      </c>
      <c r="X957">
        <v>27112700</v>
      </c>
      <c r="Y957" s="8">
        <v>48.147821999999998</v>
      </c>
      <c r="Z957">
        <v>27112700</v>
      </c>
      <c r="AA957" s="8">
        <v>48.147821999999998</v>
      </c>
      <c r="AB957" t="b">
        <f t="shared" si="14"/>
        <v>0</v>
      </c>
    </row>
    <row r="958" spans="1:28" x14ac:dyDescent="0.3">
      <c r="A958">
        <v>898013</v>
      </c>
      <c r="B958" t="s">
        <v>2336</v>
      </c>
      <c r="AB958" t="b">
        <f t="shared" si="14"/>
        <v>0</v>
      </c>
    </row>
    <row r="959" spans="1:28" x14ac:dyDescent="0.3">
      <c r="A959">
        <v>898014</v>
      </c>
      <c r="B959" t="s">
        <v>2337</v>
      </c>
      <c r="AB959" t="b">
        <f t="shared" si="14"/>
        <v>0</v>
      </c>
    </row>
    <row r="960" spans="1:28" x14ac:dyDescent="0.3">
      <c r="A960">
        <v>898015</v>
      </c>
      <c r="B960" t="s">
        <v>2338</v>
      </c>
      <c r="F960">
        <v>88495106254</v>
      </c>
      <c r="AB960" t="b">
        <f t="shared" si="14"/>
        <v>0</v>
      </c>
    </row>
    <row r="961" spans="1:28" ht="72" x14ac:dyDescent="0.3">
      <c r="A961">
        <v>898017</v>
      </c>
      <c r="B961" s="2" t="s">
        <v>2339</v>
      </c>
      <c r="F961">
        <v>66207363475</v>
      </c>
      <c r="AB961" t="b">
        <f t="shared" si="14"/>
        <v>0</v>
      </c>
    </row>
    <row r="962" spans="1:28" x14ac:dyDescent="0.3">
      <c r="A962">
        <v>898018</v>
      </c>
      <c r="B962" t="s">
        <v>2340</v>
      </c>
      <c r="F962" s="1" t="s">
        <v>2341</v>
      </c>
      <c r="G962">
        <v>114446</v>
      </c>
      <c r="H962" t="s">
        <v>2342</v>
      </c>
      <c r="I962" t="s">
        <v>2343</v>
      </c>
      <c r="J962" s="6" t="s">
        <v>2344</v>
      </c>
      <c r="K962">
        <v>26121600</v>
      </c>
      <c r="M962">
        <v>40517</v>
      </c>
      <c r="N962" t="s">
        <v>2345</v>
      </c>
      <c r="O962" t="s">
        <v>2343</v>
      </c>
      <c r="Q962" t="s">
        <v>86</v>
      </c>
      <c r="R962" s="9">
        <v>0.759558989760172</v>
      </c>
      <c r="S962" s="8">
        <v>100</v>
      </c>
      <c r="T962" s="8">
        <v>94.477949488008605</v>
      </c>
      <c r="U962" s="9">
        <v>85.911797952034405</v>
      </c>
      <c r="X962">
        <v>26121600</v>
      </c>
      <c r="Y962" s="8">
        <v>80.616500000000002</v>
      </c>
      <c r="Z962">
        <v>26121600</v>
      </c>
      <c r="AA962" s="8">
        <v>80.616500000000002</v>
      </c>
      <c r="AB962" t="b">
        <f t="shared" si="14"/>
        <v>0</v>
      </c>
    </row>
    <row r="963" spans="1:28" x14ac:dyDescent="0.3">
      <c r="A963">
        <v>898019</v>
      </c>
      <c r="B963" t="s">
        <v>2346</v>
      </c>
      <c r="F963">
        <v>61132050072</v>
      </c>
      <c r="O963" t="s">
        <v>141</v>
      </c>
      <c r="P963" t="s">
        <v>141</v>
      </c>
      <c r="Q963" t="s">
        <v>40</v>
      </c>
      <c r="T963" s="8">
        <v>95</v>
      </c>
      <c r="AB963" t="b">
        <f t="shared" ref="AB963:AB966" si="15">(AA963-Y963)&lt;-1</f>
        <v>0</v>
      </c>
    </row>
    <row r="964" spans="1:28" x14ac:dyDescent="0.3">
      <c r="A964">
        <v>898020</v>
      </c>
      <c r="B964" t="s">
        <v>2347</v>
      </c>
      <c r="F964" s="1" t="s">
        <v>2348</v>
      </c>
      <c r="X964">
        <v>39121604</v>
      </c>
      <c r="Y964" s="8">
        <v>77.195346000000001</v>
      </c>
      <c r="Z964">
        <v>39121604</v>
      </c>
      <c r="AA964" s="8">
        <v>77.195346000000001</v>
      </c>
      <c r="AB964" t="b">
        <f t="shared" si="15"/>
        <v>0</v>
      </c>
    </row>
    <row r="965" spans="1:28" x14ac:dyDescent="0.3">
      <c r="A965">
        <v>898021</v>
      </c>
      <c r="B965" t="s">
        <v>2349</v>
      </c>
      <c r="F965" s="1" t="s">
        <v>2350</v>
      </c>
      <c r="X965">
        <v>39121604</v>
      </c>
      <c r="Y965" s="8">
        <v>77.197902999999997</v>
      </c>
      <c r="Z965">
        <v>39121604</v>
      </c>
      <c r="AA965" s="8">
        <v>77.197902999999997</v>
      </c>
      <c r="AB965" t="b">
        <f t="shared" si="15"/>
        <v>0</v>
      </c>
    </row>
    <row r="966" spans="1:28" x14ac:dyDescent="0.3">
      <c r="A966">
        <v>898023</v>
      </c>
      <c r="B966" t="s">
        <v>2351</v>
      </c>
      <c r="C966" t="s">
        <v>2352</v>
      </c>
      <c r="O966" t="s">
        <v>2353</v>
      </c>
      <c r="P966" t="s">
        <v>2353</v>
      </c>
      <c r="Q966" t="s">
        <v>40</v>
      </c>
      <c r="T966" s="8">
        <v>100</v>
      </c>
      <c r="AB966" t="b">
        <f t="shared" si="15"/>
        <v>0</v>
      </c>
    </row>
  </sheetData>
  <autoFilter ref="A1:AB966" xr:uid="{A55AE25C-F373-49FD-81D3-8E8CFC3592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Levtov, Kirill (Perficient Consultant)</cp:lastModifiedBy>
  <dcterms:created xsi:type="dcterms:W3CDTF">2025-04-09T21:47:32Z</dcterms:created>
  <dcterms:modified xsi:type="dcterms:W3CDTF">2025-04-10T15:56:45Z</dcterms:modified>
</cp:coreProperties>
</file>