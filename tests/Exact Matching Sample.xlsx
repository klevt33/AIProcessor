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Spend Report AI API\tests\"/>
    </mc:Choice>
  </mc:AlternateContent>
  <xr:revisionPtr revIDLastSave="0" documentId="13_ncr:9_{667DE76E-FF3E-449D-A8E8-819B72EC6093}" xr6:coauthVersionLast="47" xr6:coauthVersionMax="47" xr10:uidLastSave="{00000000-0000-0000-0000-000000000000}"/>
  <bookViews>
    <workbookView xWindow="28680" yWindow="-120" windowWidth="29040" windowHeight="17520" xr2:uid="{A4977AF8-2D05-4B5B-BE05-6B5F5E80FFCA}"/>
  </bookViews>
  <sheets>
    <sheet name="results" sheetId="1" r:id="rId1"/>
  </sheets>
  <definedNames>
    <definedName name="_xlnm._FilterDatabase" localSheetId="0" hidden="1">results!$A$1:$V$970</definedName>
  </definedNames>
  <calcPr calcId="0"/>
</workbook>
</file>

<file path=xl/calcChain.xml><?xml version="1.0" encoding="utf-8"?>
<calcChain xmlns="http://schemas.openxmlformats.org/spreadsheetml/2006/main">
  <c r="G952" i="1" l="1"/>
  <c r="H970" i="1"/>
  <c r="G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B566" i="1"/>
</calcChain>
</file>

<file path=xl/sharedStrings.xml><?xml version="1.0" encoding="utf-8"?>
<sst xmlns="http://schemas.openxmlformats.org/spreadsheetml/2006/main" count="5161" uniqueCount="2364">
  <si>
    <t>IVCE_DTL_UID</t>
  </si>
  <si>
    <t>ITM_LDSC</t>
  </si>
  <si>
    <t>MFR_NM</t>
  </si>
  <si>
    <t>MFR_PRT_NUM</t>
  </si>
  <si>
    <t>AKS_PRT_NUM</t>
  </si>
  <si>
    <t>UPC_CD</t>
  </si>
  <si>
    <t>ItemID</t>
  </si>
  <si>
    <t>MfrPartNum</t>
  </si>
  <si>
    <t>MfrName</t>
  </si>
  <si>
    <t>UPC</t>
  </si>
  <si>
    <t>UNSPSC</t>
  </si>
  <si>
    <t>AKPartNum</t>
  </si>
  <si>
    <t>DescriptionID</t>
  </si>
  <si>
    <t>ItemDescription</t>
  </si>
  <si>
    <t>CleanName</t>
  </si>
  <si>
    <t>UncleanName</t>
  </si>
  <si>
    <t>DescriptionSimilarity</t>
  </si>
  <si>
    <t>PartNumberConfidenceScore</t>
  </si>
  <si>
    <t>ManufacturerNameConfidenceScore</t>
  </si>
  <si>
    <t>UNSPSCConfidenceScore</t>
  </si>
  <si>
    <t xml:space="preserve">WIC. THHN 8 STR YEL MR </t>
  </si>
  <si>
    <t>WIC.</t>
  </si>
  <si>
    <t>THHN 8 STR YEL MR</t>
  </si>
  <si>
    <t xml:space="preserve">WIC. THHN 3 STR BLK MR </t>
  </si>
  <si>
    <t>THHN 3 STR BLK MR</t>
  </si>
  <si>
    <t xml:space="preserve">WIC. THHN 3 STR RED MR </t>
  </si>
  <si>
    <t>THHN 3 STR RED MR</t>
  </si>
  <si>
    <t xml:space="preserve">WIC. THHN 3 STR BLU MR </t>
  </si>
  <si>
    <t>THHN 3 STR BLU MR</t>
  </si>
  <si>
    <t xml:space="preserve">WIC. THHN 3 STR WHT MR </t>
  </si>
  <si>
    <t>THHN 3 STR WHT MR</t>
  </si>
  <si>
    <t xml:space="preserve">WIC. THHN 8 STR GRN MR </t>
  </si>
  <si>
    <t>THHN 8 STR GRN MR</t>
  </si>
  <si>
    <t>GREENLEE TEXTRON</t>
  </si>
  <si>
    <t>GRN</t>
  </si>
  <si>
    <t>EMT 034E 3/4IN EMT CONDUIT 10FT</t>
  </si>
  <si>
    <t>EMT</t>
  </si>
  <si>
    <t>034E</t>
  </si>
  <si>
    <t>AK10432108</t>
  </si>
  <si>
    <t>GENERIC CONDUIT/CONDUIT FITTINGS</t>
  </si>
  <si>
    <t>CONDUIT</t>
  </si>
  <si>
    <t>B-LINE BW-8 1/2IN CONDUIT CLIP</t>
  </si>
  <si>
    <t>B-LINE</t>
  </si>
  <si>
    <t>BW-8</t>
  </si>
  <si>
    <t>AK10251748</t>
  </si>
  <si>
    <t>B-LINE BW4 BX TO WIRE FASTENER</t>
  </si>
  <si>
    <t>BW4</t>
  </si>
  <si>
    <t>AK10251744</t>
  </si>
  <si>
    <t>EMT 100E 1IN EMT CONDUIT 10FT</t>
  </si>
  <si>
    <t>100E</t>
  </si>
  <si>
    <t>AK10431715</t>
  </si>
  <si>
    <t>AFI NT2762RT 1IN COUPLING</t>
  </si>
  <si>
    <t>AFI</t>
  </si>
  <si>
    <t>NT2762RT</t>
  </si>
  <si>
    <t>AK10074571</t>
  </si>
  <si>
    <t>AMERICAN FITTINGS CORPORATION</t>
  </si>
  <si>
    <t>AMFI NT2762RT 1IN COUPLING</t>
  </si>
  <si>
    <t>ADV</t>
  </si>
  <si>
    <t>IOPA3P32N35I</t>
  </si>
  <si>
    <t>AK10933785</t>
  </si>
  <si>
    <t>ADVANCE</t>
  </si>
  <si>
    <t>GRN 1955-SS #10-18 WIRE STRPR SS CURVED HN</t>
  </si>
  <si>
    <t>1955-SS</t>
  </si>
  <si>
    <t>AK10973667</t>
  </si>
  <si>
    <t>1955SS</t>
  </si>
  <si>
    <t>GREENLEE TOOL</t>
  </si>
  <si>
    <t>GRN 1955SS #1018 WIRE STRPR SS CURVED HN</t>
  </si>
  <si>
    <t>RAY-NUH</t>
  </si>
  <si>
    <t>H913</t>
  </si>
  <si>
    <t>AK10648636</t>
  </si>
  <si>
    <t>FEDSIG 151XST-120R STROBE 120VAC HAZARDOUS LOCATION RED</t>
  </si>
  <si>
    <t>FEDSIG</t>
  </si>
  <si>
    <t>151XST-120R</t>
  </si>
  <si>
    <t>151XST120R</t>
  </si>
  <si>
    <t>FEDERAL SIGNAL CORPORATION</t>
  </si>
  <si>
    <t>FED-SIG 151XST-120R RED XPRFSTROBE</t>
  </si>
  <si>
    <t>ATLASCOPCO CPS 175-100 CW 11716616 COMPRESSOR 175-195 CFM TIER 4</t>
  </si>
  <si>
    <t>ATLASCOPCO</t>
  </si>
  <si>
    <t>CPS 175-100 CW</t>
  </si>
  <si>
    <t xml:space="preserve"> 110/2400 AIR HOSE 3/4" X 50'</t>
  </si>
  <si>
    <t xml:space="preserve"> 110/1000 BLOW GUN AIR</t>
  </si>
  <si>
    <t>MINERALLAC COMPANY</t>
  </si>
  <si>
    <t>MINRLAC 110-1000 MOUNTING STRAP</t>
  </si>
  <si>
    <t>CA PERSONAL PROP TAX REIMB CHARGE</t>
  </si>
  <si>
    <t>ULINE</t>
  </si>
  <si>
    <t xml:space="preserve"> H-4200GR LID FOR 44 GALLON ULINE TRASH CAN - GRAY</t>
  </si>
  <si>
    <t>O Z GEDNEY</t>
  </si>
  <si>
    <t>AK10076675</t>
  </si>
  <si>
    <t>OZG 4200 2IN MALL 3PC COND CPLG SEP 1027 CS5</t>
  </si>
  <si>
    <t>AK10246700</t>
  </si>
  <si>
    <t xml:space="preserve"> COND34EMT 3/4" THIN WALL
3/4" THIN WALL</t>
  </si>
  <si>
    <t xml:space="preserve"> CADWL 160 HANDLE CLAMP FOR C,E,R MOLDS
HANDLE CLAMP FOR C,E,R MOLDS</t>
  </si>
  <si>
    <t>AK10632170</t>
  </si>
  <si>
    <t>AK10626550</t>
  </si>
  <si>
    <t xml:space="preserve"> NSIIIPLD500-4 500MCM 4AWG INSUL TAP CONN
500MCM 4AWG INSUL TAP CONN</t>
  </si>
  <si>
    <t>AK10626419</t>
  </si>
  <si>
    <t>LP12-55 T9</t>
  </si>
  <si>
    <t>EML</t>
  </si>
  <si>
    <t>400E90</t>
  </si>
  <si>
    <t>AK10432318</t>
  </si>
  <si>
    <t>QMRK</t>
  </si>
  <si>
    <t>MPDS25</t>
  </si>
  <si>
    <t>GEA THQB1130 1P 30A 120V BOLT-ON CB</t>
  </si>
  <si>
    <t>GEA</t>
  </si>
  <si>
    <t>THQB1130</t>
  </si>
  <si>
    <t>ABB INDUSTRIAL SOLUTIONS</t>
  </si>
  <si>
    <t>AK10012839</t>
  </si>
  <si>
    <t>GEA THQB1130 CB 1P 30A 240V BOLT ON</t>
  </si>
  <si>
    <t>B-LINE B172-ZN 4H CHANNEL SPLICE</t>
  </si>
  <si>
    <t>B172-ZN</t>
  </si>
  <si>
    <t>AK10245743</t>
  </si>
  <si>
    <t>B172ZN</t>
  </si>
  <si>
    <t>BLINE</t>
  </si>
  <si>
    <t>BLINE B172ZN 4 HOLE CHANNEL SPLICE</t>
  </si>
  <si>
    <t>CONTROL</t>
  </si>
  <si>
    <t>3M</t>
  </si>
  <si>
    <t xml:space="preserve"> S-11335GR GIANT PLASTIC STACKABLE BINS - 15 X 20 X 12 1/2", GRAY</t>
  </si>
  <si>
    <t>MULBERRY METAL PRODUCTS</t>
  </si>
  <si>
    <t>095327113359</t>
  </si>
  <si>
    <t>MULB 11335 4-11/16 SQ 2G FLAT COVER</t>
  </si>
  <si>
    <t>MULB 12803 1IN LB THRD COND BDY KIT</t>
  </si>
  <si>
    <t>MULB</t>
  </si>
  <si>
    <t>09532712803</t>
  </si>
  <si>
    <t>095327128032</t>
  </si>
  <si>
    <t>AK10619419</t>
  </si>
  <si>
    <t>PVC 100P 1IN SCH40 PVC PIPE CIVIL: TRENCH ENCASE 1 PVC-100</t>
  </si>
  <si>
    <t>PVC</t>
  </si>
  <si>
    <t>100P 1IN SCH40 PVC PIPE</t>
  </si>
  <si>
    <t>N224-ZN-1/4</t>
  </si>
  <si>
    <t>MILW 48-20-7451 3/8X4X6 SDS BIT</t>
  </si>
  <si>
    <t>MILW</t>
  </si>
  <si>
    <t>48-20-7451</t>
  </si>
  <si>
    <t>AK10253713</t>
  </si>
  <si>
    <t>04524211165</t>
  </si>
  <si>
    <t>MILWAUKEE TOOL</t>
  </si>
  <si>
    <t>045242111657</t>
  </si>
  <si>
    <t>PVCFIT 100P CP 1 IN PVC COND COUPLING</t>
  </si>
  <si>
    <t>PVCFIT</t>
  </si>
  <si>
    <t>100P CP</t>
  </si>
  <si>
    <t>AK10432552</t>
  </si>
  <si>
    <t>KLEIN 32766 3N1 IMPACT FLIP SOCKET 3IN LENGTH</t>
  </si>
  <si>
    <t>KLEIN</t>
  </si>
  <si>
    <t>AK10608168</t>
  </si>
  <si>
    <t>09264432766</t>
  </si>
  <si>
    <t>KLEIN TOOLS</t>
  </si>
  <si>
    <t>092644327667</t>
  </si>
  <si>
    <t>KLEIN 32766 IMPACT SOCKET</t>
  </si>
  <si>
    <t>IPE</t>
  </si>
  <si>
    <t>078799 (MBCC20)</t>
  </si>
  <si>
    <t>622454S0002</t>
  </si>
  <si>
    <t>RAYOVAC ALAA-8J (AL-AA) SZ AA ALK IND BATT</t>
  </si>
  <si>
    <t>RAYOVAC</t>
  </si>
  <si>
    <t>ALAA-8J (AL-AA)</t>
  </si>
  <si>
    <t>AK10417393</t>
  </si>
  <si>
    <t>01280000043</t>
  </si>
  <si>
    <t>ALAA8J</t>
  </si>
  <si>
    <t>012800000432</t>
  </si>
  <si>
    <t>RAYOVAC ALAA-8J SZAA ALK IND BAT</t>
  </si>
  <si>
    <t>3M 3939-48MMX55M (7000028933) SILVER DUCT TAPE</t>
  </si>
  <si>
    <t>3939-48MMX55M (7000028933)</t>
  </si>
  <si>
    <t>AK10002968</t>
  </si>
  <si>
    <t>05113106975</t>
  </si>
  <si>
    <t>393948MMX55M</t>
  </si>
  <si>
    <t>051131069756</t>
  </si>
  <si>
    <t>3M 393948MMX55M (7000028933) SILVER DUCT TAPE</t>
  </si>
  <si>
    <t>CUL 53008J 1/4-20X1/2 RHMS SLT-PHIL CULLY ROUND HEAD HD MACHINE SCREW JAR</t>
  </si>
  <si>
    <t>CUL</t>
  </si>
  <si>
    <t>53008J</t>
  </si>
  <si>
    <t>08593708106</t>
  </si>
  <si>
    <t>085937081063</t>
  </si>
  <si>
    <t>AK10612758</t>
  </si>
  <si>
    <t>CUL 53008J 1420X12 RHMS SLTPHIL CULLY ROUND HEAD HD MACHINE SCREW JAR</t>
  </si>
  <si>
    <t>PVCFIT 100P40 90D SCH40 ELB 1 IN 90DEG SCH40 PVC COND ELBOW</t>
  </si>
  <si>
    <t>100P40 90D SCH40 ELB</t>
  </si>
  <si>
    <t>AK10432817</t>
  </si>
  <si>
    <t>GRN 645-001 PILOT DRILL 5/8TO2-1/4</t>
  </si>
  <si>
    <t>645-001</t>
  </si>
  <si>
    <t>AK10975381</t>
  </si>
  <si>
    <t>GRN 645001 PILOT DRILL 58 21</t>
  </si>
  <si>
    <t>PAN</t>
  </si>
  <si>
    <t>UTP28X10</t>
  </si>
  <si>
    <t>AK10715669</t>
  </si>
  <si>
    <t>CFPL6WHY</t>
  </si>
  <si>
    <t>AK10663640</t>
  </si>
  <si>
    <t>TYPE</t>
  </si>
  <si>
    <t>L3:</t>
  </si>
  <si>
    <t>TPZ</t>
  </si>
  <si>
    <t>C4CG</t>
  </si>
  <si>
    <t>AK10956490</t>
  </si>
  <si>
    <t>PS PT2097-W 974164 SELF TEST PLUGTAIL GFCI RECEP 20A WH</t>
  </si>
  <si>
    <t>PS</t>
  </si>
  <si>
    <t>PT2097-W</t>
  </si>
  <si>
    <t>AK10558391</t>
  </si>
  <si>
    <t>PT2097W</t>
  </si>
  <si>
    <t>PASS &amp; SEYMOUR</t>
  </si>
  <si>
    <t>PS PT2097W 974164 SELF TEST PLUGTAIL GFCI RECEP 20A WH</t>
  </si>
  <si>
    <t>AI</t>
  </si>
  <si>
    <t>508A</t>
  </si>
  <si>
    <t>AK10082661</t>
  </si>
  <si>
    <t>INT</t>
  </si>
  <si>
    <t>EK4436SM</t>
  </si>
  <si>
    <t>ORBIT INDUSTRIES INC BMCS Restocking Fee 30 %</t>
  </si>
  <si>
    <t>ORBIT INDUSTRIES INC</t>
  </si>
  <si>
    <t>BMCS</t>
  </si>
  <si>
    <t>ORBIT INDUSTIRES</t>
  </si>
  <si>
    <t>ORBIT INDUSTRIES INC UMA-LVBS UNIVERSAL MTG. ADAPTER W BACK SUP
Restocking Fee 30 %</t>
  </si>
  <si>
    <t>UMA-LVBS</t>
  </si>
  <si>
    <t>5AR1G-58</t>
  </si>
  <si>
    <t>4AR1G-34</t>
  </si>
  <si>
    <t>4AR2G-58</t>
  </si>
  <si>
    <t>ORBIT INDUSTRIES INC 54058X UNV 4 IN X 4-11/16 IN SQUARE TO OCT RING
Restocking Fee 30 %</t>
  </si>
  <si>
    <t>54058X</t>
  </si>
  <si>
    <t>RIDGID TOOL</t>
  </si>
  <si>
    <t>095691540584</t>
  </si>
  <si>
    <t>RDG 54058 RELEASE BUTTON</t>
  </si>
  <si>
    <t>T5B-200</t>
  </si>
  <si>
    <t>ORBIT INDUSTRIES INC SSB-T5 Restocking Fee 30 % SSB FITS 4S 5S OR 5 BOXES ADJ 15-25</t>
  </si>
  <si>
    <t>SSB-T5</t>
  </si>
  <si>
    <t>AK10653503</t>
  </si>
  <si>
    <t xml:space="preserve">RETURN FREIGHT  </t>
  </si>
  <si>
    <t>RETURN FREIGHT</t>
  </si>
  <si>
    <t>FREIGHT</t>
  </si>
  <si>
    <t>MULBERRY METAL PRODUCTS 30283 2G WP BLANK COVER</t>
  </si>
  <si>
    <t>095327302838</t>
  </si>
  <si>
    <t>MULB 30283 WP BLANK CVR</t>
  </si>
  <si>
    <t>GREENLEE-EMERSON PROFESSIONAL TOOLS DTAP6-32 DRILL/TAP 6-32</t>
  </si>
  <si>
    <t>GREENLEE-EMERSON PROFESSIONAL TOOLS</t>
  </si>
  <si>
    <t>DTAP6-32</t>
  </si>
  <si>
    <t>DTAP632</t>
  </si>
  <si>
    <t>AK10976908</t>
  </si>
  <si>
    <t>GREENLEEEMERSON PROFESSIONAL TOOLS DTAP632 DRILLTAP 632</t>
  </si>
  <si>
    <t>GREENLEE-EMERSON PROFESSIONAL TOOLS DTAP8-32 DRILL/TAP 8-32.</t>
  </si>
  <si>
    <t>DTAP8-32</t>
  </si>
  <si>
    <t>DTAP832</t>
  </si>
  <si>
    <t>AK10976909</t>
  </si>
  <si>
    <t>GREENLEEEMERSON PROFESSIONAL TOOLS DTAP832 DRILLTAP 832</t>
  </si>
  <si>
    <t>GENERIC VENDOR-PVCPA PVC-4-20 4 SCH40 COND 20FT</t>
  </si>
  <si>
    <t>GENERIC VENDOR-PVCPA</t>
  </si>
  <si>
    <t>PVC-4-20</t>
  </si>
  <si>
    <t>GENERIC VENDOR-TUBPA 3/4-EMT-BLU 3/4-STEEL THINWALL CONDUIT BLUE</t>
  </si>
  <si>
    <t>GENERIC VENDOR-TUBPA</t>
  </si>
  <si>
    <t>3/4-EMT-BLU</t>
  </si>
  <si>
    <t>GENERIC VENDOR-TUBPA 1-EMT-BLU 1-STEEL THINWALL CONDUIT BLUE</t>
  </si>
  <si>
    <t>1-EMT-BLU</t>
  </si>
  <si>
    <t>BRIDGEPORT FITTINGS INCORPORATED 323 1 IN PLASTIC BSHNG</t>
  </si>
  <si>
    <t>BRIDGEPORT FITTINGS INCORPORATED</t>
  </si>
  <si>
    <t>AK10623325</t>
  </si>
  <si>
    <t>BRIDGEPORT FITTING</t>
  </si>
  <si>
    <t>COOPER B-LINE SYSTEMS B22SH-120GLV CHNL 1-5/8X1-5/8 9/16X1-1/8 SL HL 12GA</t>
  </si>
  <si>
    <t>COOPER B-LINE SYSTEMS</t>
  </si>
  <si>
    <t>B22SH-120GLV</t>
  </si>
  <si>
    <t>B22SH120GLV</t>
  </si>
  <si>
    <t>COOPER B22SH120GLV BLINE SYSTEMS CHNL 158X158 916X118 SL HL 12GA</t>
  </si>
  <si>
    <t>COOPER CROUSE-HINDS DIVISION 496 10 3 EMT AND RGD 2 HOLE STRAP</t>
  </si>
  <si>
    <t>COOPER CROUSE-HINDS DIVISION</t>
  </si>
  <si>
    <t>496 10</t>
  </si>
  <si>
    <t>AK10279919</t>
  </si>
  <si>
    <t>CROUSE HINDS</t>
  </si>
  <si>
    <t>GENERIC VENDOR-TUBPA 1/2-EMT 1/2-STEEL THINWALL CONDUIT</t>
  </si>
  <si>
    <t>1/2-EMT</t>
  </si>
  <si>
    <t>AK10431628</t>
  </si>
  <si>
    <t>ERICO INTERNATIONAL CORPORATION 3000037EG CLAMPBEAM3/8 MAL</t>
  </si>
  <si>
    <t>ERICO INTERNATIONAL CORPORATION</t>
  </si>
  <si>
    <t>3000037EG</t>
  </si>
  <si>
    <t>AK10627919</t>
  </si>
  <si>
    <t>ERICO</t>
  </si>
  <si>
    <t>ERICO INTERNATIONAL CORPORATION 3000037EG CLAMPBEAM38 MAL</t>
  </si>
  <si>
    <t>COOPER CROUSE-HINDS DIVISION 451 3/4 EMT SS CONN</t>
  </si>
  <si>
    <t>AK10279760</t>
  </si>
  <si>
    <t>GENERIC VENDOR WIRE-WYRPA THHN-10-STR-GRN-500S THHN/THWN-2 19 STR 600V 90DEG CU</t>
  </si>
  <si>
    <t>GENERIC VENDOR WIRE-WYRPA</t>
  </si>
  <si>
    <t>THHN-10-STR-GRN-500S</t>
  </si>
  <si>
    <t>AK10438157</t>
  </si>
  <si>
    <t>GENERIC WIRE</t>
  </si>
  <si>
    <t>GENERIC VENDOR-TUBPA 3/4-EMT 3/4-STEEL THINWALL CONDUIT</t>
  </si>
  <si>
    <t>3/4-EMT</t>
  </si>
  <si>
    <t>DOTTIE CO TBC44 L H 1/4X4 TOGGLE BOLT</t>
  </si>
  <si>
    <t>DOTTIE CO</t>
  </si>
  <si>
    <t>TBC44 L H</t>
  </si>
  <si>
    <t>AK10589347</t>
  </si>
  <si>
    <t>TBC44</t>
  </si>
  <si>
    <t>LH DOTTIE</t>
  </si>
  <si>
    <t>DOTTIE TBC44 1/4X4 TOGGLE BOLT</t>
  </si>
  <si>
    <t>DOTTIE</t>
  </si>
  <si>
    <t>COOPER CROUSE-HINDS DIVISION LB15 CGN 1/2 RGD LB COND BODY CVRAND GSKT AL</t>
  </si>
  <si>
    <t>LB15 CGN</t>
  </si>
  <si>
    <t>AK10297646</t>
  </si>
  <si>
    <t>COOPER CROUSE-HINDS DIVISION ST 2 CH MYERS 3/4 ZINC CONDUIT HUB</t>
  </si>
  <si>
    <t>ST 2</t>
  </si>
  <si>
    <t>AK10301395</t>
  </si>
  <si>
    <t>BRIDGEPORT FITTINGS INCORPORATED 1061 3/4 IN 1/2 IN REDUCING WASHER</t>
  </si>
  <si>
    <t>AK10622606</t>
  </si>
  <si>
    <t>BRIDGEPORT FITTINGS INCORPORATED 407-DC2 1/2 IN SQUEEZE CONN</t>
  </si>
  <si>
    <t>407-DC2</t>
  </si>
  <si>
    <t>AK10623433</t>
  </si>
  <si>
    <t>407DC2</t>
  </si>
  <si>
    <t>BRIDGEPORT FITTINGS INCORPORATED 407DC2 12 IN SQUEEZE CONN</t>
  </si>
  <si>
    <t>COOPER B-LINE SYSTEMS ATR 1/2X120 ZN 1/2IN ALL THRD ROD ZN 120IN</t>
  </si>
  <si>
    <t>ATR 1/2X120 ZN</t>
  </si>
  <si>
    <t>HOFFMAN ENCLOSURES, INC ASG12X12X4NK PULL BOX SCREW COVER ITEM#: P/N: AK10637142</t>
  </si>
  <si>
    <t>HOFFMAN ENCLOSURES, INC</t>
  </si>
  <si>
    <t>ASG12X12X4NK</t>
  </si>
  <si>
    <t>AK10637142</t>
  </si>
  <si>
    <t>HOFFMAN</t>
  </si>
  <si>
    <t>HOFFMAN ENCLOSURES INC ASG12X12X4NK PULL BOX SCREW COVER ITEM#: PN: AK10637142</t>
  </si>
  <si>
    <t>COOPER CROUSE-HINDS DIVISION 1651RT 3/4 EMT CMP CONN RAINTIGHT INSULATED</t>
  </si>
  <si>
    <t>1651RT</t>
  </si>
  <si>
    <t>AK10278707</t>
  </si>
  <si>
    <t>EATON DISTRIBUTION EQUIP</t>
  </si>
  <si>
    <t>COOPER CROUSEHINDS DIVISION 1651RT 34 EMT CMP CONN RAINTIGHT INSULATED</t>
  </si>
  <si>
    <t>COOPER CROUSE-HINDS DIVISION 661RT 3/4 EMT CMP CPL RAINTIGHT</t>
  </si>
  <si>
    <t>661RT</t>
  </si>
  <si>
    <t>AK10281309</t>
  </si>
  <si>
    <t>COOPER CROUSEHINDS DIVISION 661RT 34 EMT CMP CPL RAINTIGHT</t>
  </si>
  <si>
    <t>GENERIC VENDOR WIRE-WYRPA THHN-10-STR-BLU-500S THHN/THWN-2 19 STR 600V 90DEG CU</t>
  </si>
  <si>
    <t>THHN-10-STR-BLU-500S</t>
  </si>
  <si>
    <t>AK10438148</t>
  </si>
  <si>
    <t>GENERIC VENDOR WIRE-WYRPA THHN-10-STR-WHT-500S THHN/THWN-2 19 STR 600V 90DEG CU</t>
  </si>
  <si>
    <t>THHN-10-STR-WHT-500S</t>
  </si>
  <si>
    <t>AK10438177</t>
  </si>
  <si>
    <t>GENERIC VENDOR-TUBPA UA 3/4 GRY CUT REEL UL TYPE LIQUID TIGHT</t>
  </si>
  <si>
    <t>UA 3/4 GRY CUT REEL</t>
  </si>
  <si>
    <t>AK10433217</t>
  </si>
  <si>
    <t>COOPER CROUSE-HINDS DIVISION LT75 3/4 STR L/T CONN</t>
  </si>
  <si>
    <t>LT75</t>
  </si>
  <si>
    <t>AK10298280</t>
  </si>
  <si>
    <t xml:space="preserve">SOUTHWIRE </t>
  </si>
  <si>
    <t>MADISON LT-75 3/4 RGD COND BODY</t>
  </si>
  <si>
    <t>COOPER CROUSE-HINDS DIVISION LT7590 3/4 90D L/T CONN</t>
  </si>
  <si>
    <t>LT7590</t>
  </si>
  <si>
    <t>AK10298283</t>
  </si>
  <si>
    <t>REEL GENERIC VENDOR-WYRPC WELDING-2-BLK-CUT 600V 636STR WELD BLK</t>
  </si>
  <si>
    <t>REEL GENERIC VENDOR-WYRPC</t>
  </si>
  <si>
    <t>WELDING-2-BLK-CUT</t>
  </si>
  <si>
    <t>GENERIC VENDOR-WYRPC</t>
  </si>
  <si>
    <t>ZN COOPER B-LINE SYSTEMS ATR 1/2X120 1/2IN ALL THRD ROD ZN 120IN</t>
  </si>
  <si>
    <t>ZN COOPER B-LINE SYSTEMS</t>
  </si>
  <si>
    <t>ATR 1/2X120</t>
  </si>
  <si>
    <t>COOPER B-LINE SYSTEMS B441-22ZN BM CLM 3/4IN MAX FLNG-13/16IN-1 5/8IN</t>
  </si>
  <si>
    <t>B441-22ZN</t>
  </si>
  <si>
    <t>B44122ZN</t>
  </si>
  <si>
    <t>AK10249104</t>
  </si>
  <si>
    <t>COOPER BLINE SYSTEMS B44122ZN BM CLM 34IN MAX FLNG1316IN1 58IN</t>
  </si>
  <si>
    <t>COOPER B-LINE SYSTEMS B172ZN 4 HLE SPLICE CLV-B22/B52A CHNL ZN PLTD</t>
  </si>
  <si>
    <t>COOPER BLINE SYSTEMS B172ZN 4 HLE SPLICE CLVB22B52A CHNL ZN PLTD</t>
  </si>
  <si>
    <t>COOPER B-LINE SYSTEMS N225ZN SPRING NUT 1/2IN13 THRD 1/2IN NUT</t>
  </si>
  <si>
    <t>N225ZN</t>
  </si>
  <si>
    <t>AK10253721</t>
  </si>
  <si>
    <t>COOPER BLINE SYSTEMS N225ZN SPRING NUT 12IN13 THRD 12IN NUT</t>
  </si>
  <si>
    <t>COILPAK SOUTHWIRE COMPANY THHN 10 STR OR 1250 SIMPULL 58025205</t>
  </si>
  <si>
    <t>COILPAK SOUTHWIRE COMPANY</t>
  </si>
  <si>
    <t>THHN 10 STR OR 1250 SIMPULL</t>
  </si>
  <si>
    <t>AK10953576</t>
  </si>
  <si>
    <t>032886912450</t>
  </si>
  <si>
    <t>SOU 58025205 10-19 CU THHN ORG</t>
  </si>
  <si>
    <t>HUBBELL WIRING DEVICES HBL2610 LKG RCPT 30A 125V L5-30R BK</t>
  </si>
  <si>
    <t>HUBBELL WIRING DEVICES</t>
  </si>
  <si>
    <t>HBL2610</t>
  </si>
  <si>
    <t>AK10502155</t>
  </si>
  <si>
    <t>HUBBELL WIRING DEVICEKELLEMS</t>
  </si>
  <si>
    <t>HUBBELL WIRING DEVICES HBL2610 LKG RCPT 30A 125V L530R BK</t>
  </si>
  <si>
    <t>HUBBELL WIRING DEVICES HBL2620 LKG RCPT 30A 250V L6-30R BK</t>
  </si>
  <si>
    <t>HBL2620</t>
  </si>
  <si>
    <t>AK10502195</t>
  </si>
  <si>
    <t>HUBBELL WIRING DEVICES HBL2620 LKG RCPT 30A 250V L630R BK</t>
  </si>
  <si>
    <t>COOPER B-LINE SYSTEMS B202ZN SQ/WASH 9/16IN HOLE 1/2IN BOLT ZN PLTD</t>
  </si>
  <si>
    <t>B202ZN</t>
  </si>
  <si>
    <t>AK10246165</t>
  </si>
  <si>
    <t>COOPER BLINE SYSTEMS B202ZNSQWASH 916IN HOLE 12IN BOLT ZN PLTD</t>
  </si>
  <si>
    <t>L H DOTTIE CO FW12 1/2 FLAT WASHERS ZINC PLATED</t>
  </si>
  <si>
    <t>L H DOTTIE CO</t>
  </si>
  <si>
    <t>FW12</t>
  </si>
  <si>
    <t>BURNDY LLC YGHP34C29 250-500 TO 3/0-250 GRN C</t>
  </si>
  <si>
    <t>BURNDY LLC</t>
  </si>
  <si>
    <t>YGHP34C29</t>
  </si>
  <si>
    <t>AK10471457</t>
  </si>
  <si>
    <t>BURNDY</t>
  </si>
  <si>
    <t>BURNDY LLC YGHP34C29 250500 TO 30250 GRN C</t>
  </si>
  <si>
    <t>ARLINGTON INDUSTRIES 5010AST SNAPTITE CONN W/INS TH</t>
  </si>
  <si>
    <t>ARLINGTON INDUSTRIES</t>
  </si>
  <si>
    <t>5010AST</t>
  </si>
  <si>
    <t>AK10082642</t>
  </si>
  <si>
    <t>018997005175</t>
  </si>
  <si>
    <t>ARLINGTON INDUSTRIES 5010AST SNAPTITE CONN WINS THAK10082642</t>
  </si>
  <si>
    <t>L H DOTTIE CO CWC6 6FT CEILING WIRE W/ PIN&amp; CLIP</t>
  </si>
  <si>
    <t>CWC6</t>
  </si>
  <si>
    <t>AK10586966</t>
  </si>
  <si>
    <t>BRIDGEPORT FITTINGS INCORPORATED 806-DC2 3/4 IN ANGLE CONN</t>
  </si>
  <si>
    <t>806-DC2</t>
  </si>
  <si>
    <t>AK10623834</t>
  </si>
  <si>
    <t>806DC2</t>
  </si>
  <si>
    <t>BRIDGEPORT FITTINGS INCORPORATED 806DC2 34 IN ANGLE CONN</t>
  </si>
  <si>
    <t>COOPER CROUSE-HINDS DIVISION TP512 4SQ 1/2D COVER FOR 1-SW</t>
  </si>
  <si>
    <t>TP512</t>
  </si>
  <si>
    <t>AK10302366</t>
  </si>
  <si>
    <t>COOPER CROUSEHINDS DIVISION TP512 4SQ 12D COVER FOR 1SW</t>
  </si>
  <si>
    <t>COIL GENERIC VENDOR-TUBPA FLEXALUM 1/2-100FT 1/2-ALUMINUM FLEXIBLE CONDUIT</t>
  </si>
  <si>
    <t>COIL GENERIC VENDOR-TUBPA</t>
  </si>
  <si>
    <t>FLEXALUM 1/2-100FT</t>
  </si>
  <si>
    <t>AK10432954</t>
  </si>
  <si>
    <t>MILWAUKEE ELEC TOOL 48-28-4008 BIT EXTENSION 3/8</t>
  </si>
  <si>
    <t>MILWAUKEE ELEC TOOL</t>
  </si>
  <si>
    <t>48-28-4008</t>
  </si>
  <si>
    <t>AK10609097</t>
  </si>
  <si>
    <t>045242225811</t>
  </si>
  <si>
    <t>MILW 48-28-4008 3/8 EXTENSION BIT</t>
  </si>
  <si>
    <t>COOPER CROUSE-HINDS DIVISION 511 3/4 RGD CLMP IRN</t>
  </si>
  <si>
    <t>AK10280741</t>
  </si>
  <si>
    <t>INTERMATIC INC WP3100C 1G VERT/HORIZ 2-3/4IN W/INSERTS FLEX GRD</t>
  </si>
  <si>
    <t>INTERMATIC INC</t>
  </si>
  <si>
    <t>WP3100C</t>
  </si>
  <si>
    <t>AK10525394</t>
  </si>
  <si>
    <t>INTERMATIC</t>
  </si>
  <si>
    <t>078275106093</t>
  </si>
  <si>
    <t>INTERMATIC INC WP3100C 1G VERTHORIZ 234IN WINSERTS FLEX GRD</t>
  </si>
  <si>
    <t>INTERMATIC INC WP1220C DISPLAY PK 2 GANG 2-1/4IN DEEP W/GFCI DU</t>
  </si>
  <si>
    <t>WP1220C</t>
  </si>
  <si>
    <t>AK10525383</t>
  </si>
  <si>
    <t>078275072695</t>
  </si>
  <si>
    <t>INTERMATIC INC WP1220C DISPLAY PK 2 GANG 214IN DEEP WGFCI DU</t>
  </si>
  <si>
    <t>REEL GENERIC VENDOR-WYRPC SOOW-10-4-BLK-CUT 90 DEGREE C 600V</t>
  </si>
  <si>
    <t>SOOW-10-4-BLK-CUT</t>
  </si>
  <si>
    <t>L H DOTTIE CO CWC10 10 FT. CEILING WIRE WITHPIN AND CLIP</t>
  </si>
  <si>
    <t>CWC10</t>
  </si>
  <si>
    <t>AK10586958</t>
  </si>
  <si>
    <t>L H DOTTIE CO CH1212 #12 JACK CHAIN 100FT BOX BRIGHT GALV STL</t>
  </si>
  <si>
    <t>CH1212</t>
  </si>
  <si>
    <t>AK10586902</t>
  </si>
  <si>
    <t>DOTTIE CH1212 SINGLE JACK CHAIN</t>
  </si>
  <si>
    <t>COOPER CROUSE-HINDS DIVISION TP708 HOLDIT SW BOX SUPPORTS FOR 1IN MAX</t>
  </si>
  <si>
    <t>TP708</t>
  </si>
  <si>
    <t>AK10302565</t>
  </si>
  <si>
    <t>COOPER CROUSEHINDS DIVISION TP708 HOLDIT SW BOX SUPPORTS FOR 1IN MAX</t>
  </si>
  <si>
    <t>L H DOTTIE CO RMC1032112 10-32X1-1/2 ROUNDHD SLOTED/PHILLIP ZIN</t>
  </si>
  <si>
    <t>RMC1032112</t>
  </si>
  <si>
    <t>AK10588770</t>
  </si>
  <si>
    <t>DOTTIE RMC1032112 10-32X1-1/2 M/S</t>
  </si>
  <si>
    <t>COOPER CROUSE-HINDS DIVISION 455 2 EMT SS CONN</t>
  </si>
  <si>
    <t>AK10279800</t>
  </si>
  <si>
    <t>BRIDGEPORT FITTINGS INCORPORATED 410-DC2 1 IN SQUEEZE CONN</t>
  </si>
  <si>
    <t>410-DC2</t>
  </si>
  <si>
    <t>AK10623443</t>
  </si>
  <si>
    <t>410DC2</t>
  </si>
  <si>
    <t>BRIDGEPORT FITTINGS INCORPORATED 410DC2 1 IN SQUEEZE CONN</t>
  </si>
  <si>
    <t>RACO INCORPORATED 590 SWITCH BOX 3X2 3-1/2DP 1/2 KO</t>
  </si>
  <si>
    <t>RACO INCORPORATED</t>
  </si>
  <si>
    <t>AK10518128</t>
  </si>
  <si>
    <t>RACO</t>
  </si>
  <si>
    <t>COOPER CROUSE-HINDS DIVISION RE21 3/4 TO 1/2 REDUCING BUSH</t>
  </si>
  <si>
    <t>RE21</t>
  </si>
  <si>
    <t>AK10300774</t>
  </si>
  <si>
    <t>GENERIC VENDOR-TUBPA 1/2-GALV 1/2-RIGID CONDUIT</t>
  </si>
  <si>
    <t>1/2-GALV</t>
  </si>
  <si>
    <t>AK10431629</t>
  </si>
  <si>
    <t>GENERIC VENDOR-TUBPA 3/4-GALV 3/4-RIGID CONDUIT</t>
  </si>
  <si>
    <t>3/4-GALV</t>
  </si>
  <si>
    <t>AK10432116</t>
  </si>
  <si>
    <t>HUBBELL POWER SYSTEMS 625BTKU2TS ELBOW 25KV 600A KIT SHEAR BOLT TP W/SA</t>
  </si>
  <si>
    <t>HUBBELL POWER SYSTEMS</t>
  </si>
  <si>
    <t>625BTKU2TS</t>
  </si>
  <si>
    <t>COOPER CROUSE-HINDS DIVISION T15 CGN 1/2 RGD T COND BODY CVR AND GSKT AL</t>
  </si>
  <si>
    <t>T15 CGN</t>
  </si>
  <si>
    <t>AK10301566</t>
  </si>
  <si>
    <t>COOPER CROUSE-HINDS DIVISION TP7940 1/2 ALUM THREADED PLUG</t>
  </si>
  <si>
    <t>TP7940</t>
  </si>
  <si>
    <t>AK10302776</t>
  </si>
  <si>
    <t>COOPER CROUSEHINDS DIVISION TP7940 12 ALUM THREADED PLUG</t>
  </si>
  <si>
    <t>GENERIC VENDOR WIRE-WYRPA THHN-14-STR-RED-500S THHN/THWN-2 19 STR 600V 90DEG CU</t>
  </si>
  <si>
    <t>THHN-14-STR-RED-500S</t>
  </si>
  <si>
    <t>AK10438522</t>
  </si>
  <si>
    <t>3M CO. - ELECTRICAL MARKETS DIV. 165BK4A VINYL ELECT TAPE 165 BLK 3/4IN X 60FT</t>
  </si>
  <si>
    <t>3M CO. - ELECTRICAL MARKETS DIV.</t>
  </si>
  <si>
    <t>165BK4A</t>
  </si>
  <si>
    <t>AK10001778</t>
  </si>
  <si>
    <t>HOFFMAN ENCLOSURES, INC A30R3012HCR TYPE 3R ENCLOSURE HNG COVER</t>
  </si>
  <si>
    <t>A30R3012HCR</t>
  </si>
  <si>
    <t>AK10634760</t>
  </si>
  <si>
    <t>HOFFMAN ENCLOSURES INC A30R3012HCR TYPE 3R ENCLOSURE HNG COVER</t>
  </si>
  <si>
    <t>GENERIC VENDOR WIRE-WYRPA THHN-10-STR-GRY-500S THHN/THWN-2 19 STR 600V 90DEG CU</t>
  </si>
  <si>
    <t>THHN-10-STR-GRY-500S</t>
  </si>
  <si>
    <t>AK10438162</t>
  </si>
  <si>
    <t>GENERIC VENDOR WIRE-WYRPA THHN-14-STR-PNK-500S THHN/THWN-2 19 STR 600V 90DEG CU</t>
  </si>
  <si>
    <t>THHN-14-STR-PNK-500S</t>
  </si>
  <si>
    <t>AK10438518</t>
  </si>
  <si>
    <t>GENERIC VENDOR WIRE-WYRPA THHN-14-STR-PUR-500S THHN/THWN-2 19 STR 600V 90DEG CU</t>
  </si>
  <si>
    <t>THHN-14-STR-PUR-500S</t>
  </si>
  <si>
    <t>AK10438520</t>
  </si>
  <si>
    <t>GENERIC VENDOR-PVCPA PVC-6 6 SCH40 COND 10FT</t>
  </si>
  <si>
    <t>PVC-6</t>
  </si>
  <si>
    <t>AK10433131</t>
  </si>
  <si>
    <t>COOPER CROUSE-HINDS DIVISION RE109 4 TO 3 1/2 REDUCING BUSH</t>
  </si>
  <si>
    <t>RE109</t>
  </si>
  <si>
    <t>AK10300768</t>
  </si>
  <si>
    <t>COOPER CROUSEHINDS DIVISION RE109 4 TO 3 12 REDUCING BUSH</t>
  </si>
  <si>
    <t>GENERIC VENDOR WIRE-WYRPA THHN-AL-1/0-STR-BLK-CUT REEL THHN/THWN-2 600V ALUM COND</t>
  </si>
  <si>
    <t>THHN-AL-1/0-STR-BLK-CUT REEL</t>
  </si>
  <si>
    <t>GENERIC VENDOR WIRE-WYRPA THHN-AL-1/0-STR-RED-CUT REEL THHN/THWN-2 600V ALUM COND</t>
  </si>
  <si>
    <t>THHN-AL-1/0-STR-RED-CUT REEL</t>
  </si>
  <si>
    <t>GENERIC VENDOR WIRE-WYRPA THHN-AL-1/0-STR-BLU-CUT REEL THHN/THWN-2 600V ALUM COND</t>
  </si>
  <si>
    <t>THHN-AL-1/0-STR-BLU-CUT REEL</t>
  </si>
  <si>
    <t>GENERIC VENDOR WIRE-WYRPA THHN-AL-1/0-STR-WHT-CUT REEL THHN/THWN-2 600V ALUM COND</t>
  </si>
  <si>
    <t>THHN-AL-1/0-STR-WHT-CUT REEL</t>
  </si>
  <si>
    <t>GENERIC VENDOR WIRE-WYRPA THHN-8-STR-GRN-CUT REEL THHN/THWN-2 19 STR 600V 90DEG CU</t>
  </si>
  <si>
    <t>THHN-8-STR-GRN-CUT REEL</t>
  </si>
  <si>
    <t>COOPER CROUSE-HINDS DIVISION LL57 1 1/2 NPT IRON LL FORM 7COND BDY</t>
  </si>
  <si>
    <t>LL57</t>
  </si>
  <si>
    <t>COOPER CROUSE-HINDS DIVISION 570G 1 1/2 SHT STL FORM 7 COVW/ GSKT</t>
  </si>
  <si>
    <t>570G</t>
  </si>
  <si>
    <t>JCB 510-56 10842499 FORKLIFT VARIABLE REACH 10000# 50'-62'
Serial: 2753709 Meter out: 6267.00 Meter in: . 00</t>
  </si>
  <si>
    <t>JCB</t>
  </si>
  <si>
    <t>510-56</t>
  </si>
  <si>
    <t>GENERIC VENDOR-TUBPA 1-1/2 X CLOSE 1-1/2 X CLOSE-GALVANIZED CONDUIT NIPPLE</t>
  </si>
  <si>
    <t>1-1/2 X CLOSE</t>
  </si>
  <si>
    <t>DELIVERY CHARGE</t>
  </si>
  <si>
    <t>BRIDGEPORT FITTINGS INCORPORATED 105-DC 1 1/2 IN LOCKNUT</t>
  </si>
  <si>
    <t>105-DC</t>
  </si>
  <si>
    <t>105DC</t>
  </si>
  <si>
    <t>BRDGPORT 105-DC 1-1/2 D/C LOCKNUT</t>
  </si>
  <si>
    <t>BRIDGEPORT FITTINGS INCORPORATED 325 1 1/2 IN PLASTIC BSHNG</t>
  </si>
  <si>
    <t>PICKUP CHARGE</t>
  </si>
  <si>
    <t>HOFFMAN ENCLOSURES, INC AS150 HOLE SEAL FOR 1 1 2-IN CONDUIT 2.50 DIA.</t>
  </si>
  <si>
    <t>AS150</t>
  </si>
  <si>
    <t>AK10636920</t>
  </si>
  <si>
    <t>HOFFMAN ENCLOSURES INC AS150 HOLE SEAL FOR 1 1 2IN CONDUIT 2.50 DIA</t>
  </si>
  <si>
    <t xml:space="preserve"> H-3689GR ULINE TRASH CAN - 55 GALLON, GRAY</t>
  </si>
  <si>
    <t xml:space="preserve"> H-4201GR LID FOR 55 GALLON ULINE TRASH CAN - GRAY</t>
  </si>
  <si>
    <t xml:space="preserve"> FUSE-LC9SMU-6 FUSE-LC9SMU-6 FO CONNECTOR LC SM - BLUE PACK OF 6</t>
  </si>
  <si>
    <t>FUSE-LC9SMU-6</t>
  </si>
  <si>
    <t xml:space="preserve"> FUSE-SC9M50L-6 FO CONNECTOR SC MM - AQUA PACK OF 6</t>
  </si>
  <si>
    <t>FUSE-SC9M50L-6</t>
  </si>
  <si>
    <t xml:space="preserve"> 5F100-6LC 5F100-6LC 6F SM SC DUP ADAPTER PANEL - BLUE</t>
  </si>
  <si>
    <t>ADAPTER</t>
  </si>
  <si>
    <t>ALLEN TEL PRODUCTS INCORPORATED GBLC2-D1-15 LC-LC DUPLEX SM 15M</t>
  </si>
  <si>
    <t>ALLEN TEL PRODUCTS INCORPORATED</t>
  </si>
  <si>
    <t>GBLC2-D1-15</t>
  </si>
  <si>
    <t>ALLEN TEL PRODUCTS</t>
  </si>
  <si>
    <t>LEVITON MANUFACTURING COMPANY, INC 5F100-2QL PLT COMP LC 12F ZIR AQU</t>
  </si>
  <si>
    <t>LEVITON MANUFACTURING COMPANY, INC</t>
  </si>
  <si>
    <t>5F100-2QL</t>
  </si>
  <si>
    <t>5F1002QL</t>
  </si>
  <si>
    <t>LEVITON</t>
  </si>
  <si>
    <t>078477583951</t>
  </si>
  <si>
    <t>AK10574646</t>
  </si>
  <si>
    <t>5F1002QL LEVITON MANUFACTURING COMPANY INC PLT COMP LC 12F ZIR AQU</t>
  </si>
  <si>
    <t xml:space="preserve">BERK-TEK LLC 6P4P24-YL-S-BER-AP </t>
  </si>
  <si>
    <t>BERK-TEK LLC</t>
  </si>
  <si>
    <t>6P4P24-YL-S-BER-AP</t>
  </si>
  <si>
    <t>BERK TEK</t>
  </si>
  <si>
    <t>UCL SWIFT AMERICAS LCS-SM-UPC-09-SA SPLICE ON CONN LC SIMPLEX SM UPC 900 MIC</t>
  </si>
  <si>
    <t>UCL SWIFT AMERICAS</t>
  </si>
  <si>
    <t>LCS-SM-UPC-09-SA</t>
  </si>
  <si>
    <t>SIMPLEX</t>
  </si>
  <si>
    <t>L H DOTTIE CO TBC83 1/8X3 TOGGLE BOLT</t>
  </si>
  <si>
    <t>TBC83</t>
  </si>
  <si>
    <t>AK10589350</t>
  </si>
  <si>
    <t>DOTTIE TBC83 1/8X3 TOGGLE BOLT</t>
  </si>
  <si>
    <t>3M CO. - ELECTRICAL MARKETS DIV. 35-GRAY-3/4X66FT VINYL COLOR CODING TAPE 3/4 X 66</t>
  </si>
  <si>
    <t>35-GRAY-3/4X66FT</t>
  </si>
  <si>
    <t>AK10002821</t>
  </si>
  <si>
    <t>35GRAY34X66FT</t>
  </si>
  <si>
    <t>054007000723</t>
  </si>
  <si>
    <t>3M CO. ELECTRICAL MARKETS DIV. 35GRAY34X66FT VINYL COLOR CODING TAPE 34 X 66</t>
  </si>
  <si>
    <t>VELCRO USA INCORPORATED 31086 3/4IN VELCRO BLK 25YDS</t>
  </si>
  <si>
    <t>VELCRO USA INCORPORATED</t>
  </si>
  <si>
    <t>AK10984334</t>
  </si>
  <si>
    <t>IDEAL INDUSTRIES</t>
  </si>
  <si>
    <t>IDEAL 31-086 50FT FISH TAPE</t>
  </si>
  <si>
    <t>COMMSCOPE TECHNOLOGIES LLC FEWLCLC42-JXF010 TERASPEED LC/LC F PTCHCRD 10FT COO:India</t>
  </si>
  <si>
    <t>COMMSCOPE TECHNOLOGIES LLC</t>
  </si>
  <si>
    <t>FEWLCLC42-JXF010</t>
  </si>
  <si>
    <t>COMMSCOPE SYSTIMAX</t>
  </si>
  <si>
    <t>HUBBELL LENOIR CITY INC PG2436Z7144N3 ASSY T15 OB 24X36X42 MNDOT TMS</t>
  </si>
  <si>
    <t>HUBBELL LENOIR CITY INC</t>
  </si>
  <si>
    <t>PG2436Z7144N3</t>
  </si>
  <si>
    <t>HUBBELL LENOIR CITY</t>
  </si>
  <si>
    <t>HUBBELL LENOIR CITY INC PG4872Z5334N3 ASSY T15 OB 48X72 MN DOT TMS</t>
  </si>
  <si>
    <t>PG4872Z5334N3</t>
  </si>
  <si>
    <t>GENERIC VENDOR-WYRPS 4-4C-DBLC-CUT REEL DIRECT BURIED LIGHTING CABLE</t>
  </si>
  <si>
    <t>GENERIC VENDOR-WYRPS</t>
  </si>
  <si>
    <t>4-4C-DBLC-CUT REEL</t>
  </si>
  <si>
    <t>HUBBELL LENOIR CITY INC PG2436E503 24X36 GRADE ADJUSTABLE EXTENSION RING</t>
  </si>
  <si>
    <t>PG2436E503</t>
  </si>
  <si>
    <t>AK10473752</t>
  </si>
  <si>
    <t>C2G C2G10377 6FT/1.8M ULTRA FLEXIBLE HDMI CABLE 4K</t>
  </si>
  <si>
    <t>C2G</t>
  </si>
  <si>
    <t>C2G10377</t>
  </si>
  <si>
    <t>C2G CG28102 2M USB 2.0 A/B CBL BLK</t>
  </si>
  <si>
    <t>CG28102</t>
  </si>
  <si>
    <t>GENERIC VENDOR WIRE-WYRPA MC ALUM 12/2 250CL MC ALUM 12/2 SOL COIL</t>
  </si>
  <si>
    <t>MC ALUM 12/2 250CL</t>
  </si>
  <si>
    <t>PANDUIT CORP CBX4WH-AY MIN COM W/TAPE 4POS</t>
  </si>
  <si>
    <t>PANDUIT CORP</t>
  </si>
  <si>
    <t>CBX4WH-AY</t>
  </si>
  <si>
    <t>PANDUIT</t>
  </si>
  <si>
    <t>INDUSTRIAL CONNECTIONS &amp; SOLUTIONS, U065NA1010 60A AC DISC NF W/20A GFI</t>
  </si>
  <si>
    <t>INDUSTRIAL CONNECTIONS &amp; SOLUTIONS,</t>
  </si>
  <si>
    <t>U065NA1010</t>
  </si>
  <si>
    <t>INDUSTRIAL CONNECTIONS &amp; SOLUTIONS</t>
  </si>
  <si>
    <t>PANDUIT CORP CFPL6WHY CLASSIC FACEPLATE W/ LABEL</t>
  </si>
  <si>
    <t>GENERIC VENDOR-TUBPA UA 1/2 GRY CUT REEL UL TYPE LIQUID TIGHT</t>
  </si>
  <si>
    <t>UA 1/2 GRY CUT REEL</t>
  </si>
  <si>
    <t>AK10433212</t>
  </si>
  <si>
    <t>WP804-1.00L_SEMTRON INC WP804-1.00L SPLIT PLATE</t>
  </si>
  <si>
    <t>SEMTRON INC</t>
  </si>
  <si>
    <t>SEMTRON</t>
  </si>
  <si>
    <t>COOPER CROUSE-HINDS DIVISION LT5090 1/2 90D L/T CONN</t>
  </si>
  <si>
    <t>LT5090</t>
  </si>
  <si>
    <t>AK10298259</t>
  </si>
  <si>
    <t>COOPER CROUSEHINDS DIVISION LT5090 12 90D LT CONN</t>
  </si>
  <si>
    <t>COOPER CROUSE-HINDS DIVISION LT50 1/2 STR L/T CONN</t>
  </si>
  <si>
    <t>LT50</t>
  </si>
  <si>
    <t>AK10298254</t>
  </si>
  <si>
    <t>MADISON LT-50 1/2 RGD COND BODY</t>
  </si>
  <si>
    <t>WP804-1.500L_SEMTRON INC WP804-1.500L SPLIT PLATE 2IN CUT OUT</t>
  </si>
  <si>
    <t>SCHNEIDER ELECTRIC USA INC QOB230 CB 120/240V 30A/2P BOLT ON</t>
  </si>
  <si>
    <t>SCHNEIDER ELECTRIC USA INC</t>
  </si>
  <si>
    <t>QOB230</t>
  </si>
  <si>
    <t>AK10994415</t>
  </si>
  <si>
    <t>SCHNEIDER ELECTRIC</t>
  </si>
  <si>
    <t>3M CO. - ELECTRICAL MARKETS DIV. CT8NT50-C 8IN NAT 50 LB CABLE TIE-100BAG (06226)</t>
  </si>
  <si>
    <t>CT8NT50-C</t>
  </si>
  <si>
    <t>AK10005679</t>
  </si>
  <si>
    <t>CT8NT50C</t>
  </si>
  <si>
    <t>051128592977</t>
  </si>
  <si>
    <t>3M CO. ELECTRICAL MARKETS DIV. CT8NT50C 8IN NAT 50 LB CABLE TIE100BAG (06226)</t>
  </si>
  <si>
    <t>SCHNEIDER ELECTRIC USA INC QOB120 CB 120/240V 20A/1P BOLT ON</t>
  </si>
  <si>
    <t>QOB120</t>
  </si>
  <si>
    <t>AK10994411</t>
  </si>
  <si>
    <t>PANDUIT CORP TM2S8-C CABLE TIE BASE SCREW MNT (M-I-S TIES)</t>
  </si>
  <si>
    <t>TM2S8-C</t>
  </si>
  <si>
    <t>AK10714034</t>
  </si>
  <si>
    <t>TM2S8C</t>
  </si>
  <si>
    <t>074983582204</t>
  </si>
  <si>
    <t>PANDUIT CORP TM2S8C CABLE TIE BASE SCREW MNT (MIS TIES)</t>
  </si>
  <si>
    <t>SH NL AMERICAN ELECTRIC DIV ATBM P30 MVOLT R2 4B P7 LED COBRA 4000K 4-BOLT MNT NEMA LABEL</t>
  </si>
  <si>
    <t>SH NL AMERICAN ELECTRIC DIV</t>
  </si>
  <si>
    <t>ATBM P30 MVOLT R2 4B P7</t>
  </si>
  <si>
    <t>AMERICAN ELECTRIC LIGHTING</t>
  </si>
  <si>
    <t>AMERICAN ELECTRIC DIV</t>
  </si>
  <si>
    <t>GENERIC VENDOR WIRE-WYRPA UF-WG-12-2-1000R 600V CU</t>
  </si>
  <si>
    <t>UF-WG-12-2-1000R</t>
  </si>
  <si>
    <t>AK10439450</t>
  </si>
  <si>
    <t>COOPER BUSSMANN INC HEB-AW-RLC-A BUSS FUSEHOLDER</t>
  </si>
  <si>
    <t>COOPER BUSSMANN INC</t>
  </si>
  <si>
    <t>HEB-AW-RLC-A</t>
  </si>
  <si>
    <t>BUSSMANN</t>
  </si>
  <si>
    <t>BURNDY LLC KA25 4-1/0 CU LUG ST SCR 1H</t>
  </si>
  <si>
    <t>KA25</t>
  </si>
  <si>
    <t>AK10465135</t>
  </si>
  <si>
    <t>L H DOTTIE CO RTV10 10.1 OZ SILICONE SEALANT</t>
  </si>
  <si>
    <t>RTV10</t>
  </si>
  <si>
    <t>AK10588921</t>
  </si>
  <si>
    <t>DOTTIE RTV10 10.3OZ SILICONE SEALAN</t>
  </si>
  <si>
    <t>ERICO INTERNATIONAL CORPORATION 615800 GR RODPTDCU-BONDNOM 5/8INX10FT10MIL)</t>
  </si>
  <si>
    <t>AK10631333</t>
  </si>
  <si>
    <t>ERICO INTERNATIONAL CORPORATION 615800 GR RODPTDCUBONDNOM 58INX10FT10MIL)</t>
  </si>
  <si>
    <t>3M CO. - ELECTRICAL MARKETS DIV. 33+SUPER-3/4X76FT VINYL TAPE 3/4 X 76</t>
  </si>
  <si>
    <t>33+SUPER-3/4X76FT</t>
  </si>
  <si>
    <t>AK10002648</t>
  </si>
  <si>
    <t>3M CO. - ELECTRICAL MARKETS DIV. 35-WHITE-3/4X66FT VINYL COLOR CODING TAPE 3/4 X 66</t>
  </si>
  <si>
    <t>35-WHITE-3/4X66FT</t>
  </si>
  <si>
    <t>AK10002833</t>
  </si>
  <si>
    <t>IDEAL INDUSTRIES INC 30-454 WINGNUT 454 BLUE 25PC/BOX</t>
  </si>
  <si>
    <t>IDEAL INDUSTRIES INC</t>
  </si>
  <si>
    <t>30-454</t>
  </si>
  <si>
    <t>AK10520028</t>
  </si>
  <si>
    <t>IDEAL INDUSTRIES INC 30454 WINGNUT 454 BLUE 25PCBOX</t>
  </si>
  <si>
    <t>BURNDY LLC GRC58 5/8 IN GROUND ROD CLAMP</t>
  </si>
  <si>
    <t>GRC58</t>
  </si>
  <si>
    <t>AK10464677</t>
  </si>
  <si>
    <t>BURNDY LLC GRC58 58 IN GROUND ROD CLAMP</t>
  </si>
  <si>
    <t>GENERIC VENDOR WIRE-WYRPA BARE-CU-SD-6-7STR-315S BARE CU</t>
  </si>
  <si>
    <t>BARE-CU-SD-6-7STR-315S</t>
  </si>
  <si>
    <t>AK10434214</t>
  </si>
  <si>
    <t>ENGINEERED PRODUCTS CO EPD5 5-1LB STD DUCT SEAL</t>
  </si>
  <si>
    <t>ENGINEERED PRODUCTS CO</t>
  </si>
  <si>
    <t>EPD5</t>
  </si>
  <si>
    <t>AK10418005</t>
  </si>
  <si>
    <t>ENGINEERED PRODUCTS</t>
  </si>
  <si>
    <t>3M CO. - ELECTRICAL MARKETS DIV. 1602-R INSULATING SEALER 16 OZ (RED)</t>
  </si>
  <si>
    <t>1602-R</t>
  </si>
  <si>
    <t>AK10001768</t>
  </si>
  <si>
    <t>1602R</t>
  </si>
  <si>
    <t>051128603680</t>
  </si>
  <si>
    <t>3M CO. ELECTRICAL MARKETS DIV. 1602R INSULATING SEALER 16 OZ (RED)</t>
  </si>
  <si>
    <t>BRADY WORLDWIDE INCORPORATED M21-500-499 CART M21 B499 0.5INX16FTBLK/WHT</t>
  </si>
  <si>
    <t>BRADY WORLDWIDE INCORPORATED</t>
  </si>
  <si>
    <t>M21-500-499</t>
  </si>
  <si>
    <t>AK10130030</t>
  </si>
  <si>
    <t>M21500499</t>
  </si>
  <si>
    <t>BRADY WORLDWIDE</t>
  </si>
  <si>
    <t>BRADY WORLDWIDE INCORPORATED M21500499 CART M21 B499 0.5INX16FTBLKWHT</t>
  </si>
  <si>
    <t>MILWAUKEE ELEC TOOL 48-39-0572 BAND SAW BLADE M12 SUB-COMPACT (27)18</t>
  </si>
  <si>
    <t>48-39-0572</t>
  </si>
  <si>
    <t>AK10609111</t>
  </si>
  <si>
    <t>045242272341</t>
  </si>
  <si>
    <t>MILWAUKEE ELEC TOOL 48390572 BAND SAW BLADE M12 SUBCOMPACT (27)18</t>
  </si>
  <si>
    <t>ENERGIZER BATTERY INC ALAAA-18PP ALKALINE AAA BATTERY RECLOSABLE 18PK</t>
  </si>
  <si>
    <t>ENERGIZER BATTERY INC</t>
  </si>
  <si>
    <t>ALAAA-18PP</t>
  </si>
  <si>
    <t>ENERGIZER BATTERY</t>
  </si>
  <si>
    <t>COOPER CROUSE-HINDS DIVISION TP428 4 SQ EXT RING 1/2 AND 3/4 KO</t>
  </si>
  <si>
    <t>TP428</t>
  </si>
  <si>
    <t>AK10302265</t>
  </si>
  <si>
    <t>COOPER CROUSEHINDS DIVISION TP428 4 SQ EXT RING 12 AND 34 KO</t>
  </si>
  <si>
    <t>HUBBELL WIRING DEVICES BR20WHIWRTR WTR/TAMP COM GRD 20A 125V 5-20R WH
AK10498252</t>
  </si>
  <si>
    <t>BR20WHIWRTR</t>
  </si>
  <si>
    <t>AK10498252</t>
  </si>
  <si>
    <t>HUBBELL WIRING DEVICE-KELLEMS</t>
  </si>
  <si>
    <t>COOPER CROUSE-HINDS DIVISION TP403 4SQ 2-1/8D BOX 1/2 AND 3/4 KO</t>
  </si>
  <si>
    <t>TP403</t>
  </si>
  <si>
    <t>AK10302218</t>
  </si>
  <si>
    <t>COOPER CROUSEHINDS DIVISION TP403 4SQ BX 2 18 DP 12 AND 34 KO WELDED</t>
  </si>
  <si>
    <t>COOPER CROUSE-HINDS DIVISION TP472 4SQ FLAT BLANK COVER</t>
  </si>
  <si>
    <t>TP472</t>
  </si>
  <si>
    <t>AK10302325</t>
  </si>
  <si>
    <t>COOPER CROUSEHINDS DIVISION TP472 4SQ FLAT BLANK COVER</t>
  </si>
  <si>
    <t>COOPER CROUSE-HINDS DIVISION TP424 4 SQ EXT RING 1/2 KO</t>
  </si>
  <si>
    <t>TP424</t>
  </si>
  <si>
    <t>AK10302262</t>
  </si>
  <si>
    <t>WATST DSW-302-W 549930 DUAL TECH WALL SWTICH OCCUPANCY SENSOR 120/277V, WHITE
Original Sale : S104558276.001 **
Cus PO: 80730822 **</t>
  </si>
  <si>
    <t>WATST</t>
  </si>
  <si>
    <t>DSW-302-W</t>
  </si>
  <si>
    <t>COOPER CROUSE-HINDS DIVISION 450S 1/2 EMT SS CONN</t>
  </si>
  <si>
    <t>450S</t>
  </si>
  <si>
    <t>AK10279751</t>
  </si>
  <si>
    <t>COOPER CROUSE-HINDS DIVISION 460 1/2 STL S/SCR EMT CPLG</t>
  </si>
  <si>
    <t>AK10279822</t>
  </si>
  <si>
    <t>BRIDGEPORT FITTINGS INCORPORATED 921-S 3/4 IN EMT PIPE STRAP</t>
  </si>
  <si>
    <t>921-S</t>
  </si>
  <si>
    <t>AK10623931</t>
  </si>
  <si>
    <t>921S</t>
  </si>
  <si>
    <t>BRIDGEPORT FITTINGS INCORPORATED 921S 34 IN EMT PIPE STRAP</t>
  </si>
  <si>
    <t>L H DOTTIE CO 14H134 1/4X1-3/4 HEX CONCRETE ANCH</t>
  </si>
  <si>
    <t>14H134</t>
  </si>
  <si>
    <t>AK10586287</t>
  </si>
  <si>
    <t>L H DOTTIE CO 14H134 14X134 HEX CONCRETE ANCH</t>
  </si>
  <si>
    <t>LOT: SCHNEIDE LSCHNEIDE 1 - HCW86TSD * Component of : HDP-PVSP</t>
  </si>
  <si>
    <t>LOT:</t>
  </si>
  <si>
    <t>SCHNEIDE</t>
  </si>
  <si>
    <t>LOT: SCHNEIDE LSCHNEIDE 1 - HC3273TSHRWMD SURFACE COVER
Component of :HGENC</t>
  </si>
  <si>
    <t>EMT 898302 335 COND EMT 1/2"</t>
  </si>
  <si>
    <t>RACO 5385-0 53218 BX WP AL 1G 3 1/2" HUBS DEEP DOP 2-5/8" GRAY 21.3CI MTG LUGS</t>
  </si>
  <si>
    <t>5385-0</t>
  </si>
  <si>
    <t>050169538500</t>
  </si>
  <si>
    <t>RACO 5385-0 1G WP BOX W/3 1/2HUBS</t>
  </si>
  <si>
    <t>RACO 2902RT 15513 CONN EMT STL RT 1/2" PKG QTY 50, 250* COMPRESSION MARKED "WET LOCATIONS"</t>
  </si>
  <si>
    <t>2902RT</t>
  </si>
  <si>
    <t>050169290293</t>
  </si>
  <si>
    <t>AK10517766</t>
  </si>
  <si>
    <t>RACO 2902RT 12 INCH EMT RAINTIGHT COMPRESSION CONNECTOR UNINSULATED STEEL CONDUIT PIPE FITTINGS</t>
  </si>
  <si>
    <t>P&amp;S 2097-TRWRW 4065 RCPT GFI TR 20A125V WHT SELFTEST 10</t>
  </si>
  <si>
    <t>P&amp;S</t>
  </si>
  <si>
    <t>2097-TRWRW</t>
  </si>
  <si>
    <t>2097TRWRW</t>
  </si>
  <si>
    <t>AK10555058</t>
  </si>
  <si>
    <t>P&amp;S 2097TRWRW 20A 125V GFCI RCPT</t>
  </si>
  <si>
    <t>MNRLC 60320J 25714 SCR CNCRT 1/4 X 1 1/4 JAR/100 TAPCON CULLY</t>
  </si>
  <si>
    <t>MNRLC</t>
  </si>
  <si>
    <t>60320J</t>
  </si>
  <si>
    <t>TAPCON</t>
  </si>
  <si>
    <t>INTER WP1010MXD 54357 CVR WP 1G VERT 3-1/8" DEEP DIE CAST NEMA 3R EXTRA DUTY INTERMATIC</t>
  </si>
  <si>
    <t>INTER</t>
  </si>
  <si>
    <t>WP1010MXD</t>
  </si>
  <si>
    <t>078275130135</t>
  </si>
  <si>
    <t>AK10525367</t>
  </si>
  <si>
    <t>INTERMATIC WP1010MXD 1G WP GRAY METAL INUSE COVER W (3) INSERTS (UP TO 16 CONFIGURATIONS) 312 INCH DEEP VERTICAL LOCKABLE EXTRA DUTY NEMA3R WEATHER PROOF IN USE BUBBLE COVER DIE CAST ALUMINUM SINGLE GANG</t>
  </si>
  <si>
    <t>LOT: SCHNEIDE LSCHNEIDE 1 - HC4268TSHRWMD SURFACE COVER * Component of :LDPXLTG</t>
  </si>
  <si>
    <t>GENERIC VENDOR-PVCPA ELL-90-1 SCH40 1IN 90DEG ELBOW</t>
  </si>
  <si>
    <t>ELL-90-1</t>
  </si>
  <si>
    <t>GENERIC VENDOR-PVCPA PVC-1 1 SCH40 COND 10FT</t>
  </si>
  <si>
    <t>PVC-1</t>
  </si>
  <si>
    <t>AK10433107</t>
  </si>
  <si>
    <t>GENERIC VENDOR-PVCPA COUP-1 1 SCH40 COUPLING</t>
  </si>
  <si>
    <t>COUP-1</t>
  </si>
  <si>
    <t>GENERIC VENDOR-PVCPA FA-1 1 FEMALE ADAPTER</t>
  </si>
  <si>
    <t>FA-1</t>
  </si>
  <si>
    <t>AK10432938</t>
  </si>
  <si>
    <t>ABB INSTALLATION PRODUCTS INC CPC100 SS CPC100 1IN COBRA (1.100-1.400) S</t>
  </si>
  <si>
    <t>ABB INSTALLATION PRODUCTS INC</t>
  </si>
  <si>
    <t>CPC100</t>
  </si>
  <si>
    <t>AK10028617</t>
  </si>
  <si>
    <t>ABB INSTALLATION PRODUCTS</t>
  </si>
  <si>
    <t>GENERIC VENDOR-TUBPA 3-1/2-EMT 3-1/2-STEEL THINWALL CONDUIT</t>
  </si>
  <si>
    <t>3-1/2-EMT</t>
  </si>
  <si>
    <t>AK10432040</t>
  </si>
  <si>
    <t>GENERIC VENDOR-PVCPA CEMENT-QSET/AW-CLR-LV-PT VC9983/7210412/G2646S/55919/078503</t>
  </si>
  <si>
    <t>CEMENT-QSET/AW-CLR-LV-PT</t>
  </si>
  <si>
    <t>AK10432532</t>
  </si>
  <si>
    <t>VC9983</t>
  </si>
  <si>
    <t>034481069768</t>
  </si>
  <si>
    <t>AK10054898</t>
  </si>
  <si>
    <t>T&amp;B VC9983 QUICK SET CEMENT PINT</t>
  </si>
  <si>
    <t xml:space="preserve"> 3536544 INSTALLATION SYSTEMS ENGINEERING SERVICE</t>
  </si>
  <si>
    <t>CUTTING CHARGE</t>
  </si>
  <si>
    <t>SERVICE</t>
  </si>
  <si>
    <t xml:space="preserve"> 3741067 HASE SIGN AND SEAL</t>
  </si>
  <si>
    <t xml:space="preserve"> 2039231 MAGNETIC NUT SETTER 5/16" X 2"</t>
  </si>
  <si>
    <t xml:space="preserve"> 3417184 FIRESTOP BOX INSERT 4-11/16" X 4-11/16" 50 PK</t>
  </si>
  <si>
    <t>ILSCO</t>
  </si>
  <si>
    <t>ILSCO 11/16 4/0 COP SOLDERING LUG</t>
  </si>
  <si>
    <t xml:space="preserve"> 2025923 HAMMER DRILL BIT TE-CX 3/16"-6" MP32</t>
  </si>
  <si>
    <t xml:space="preserve"> 2018443 ANCHOR ROD HIT-Z 1/2" X 4-1/2"</t>
  </si>
  <si>
    <t xml:space="preserve"> 3785337 7/16" HEX ARBOR (1-1/4" TO 6")</t>
  </si>
  <si>
    <t xml:space="preserve"> 2210260 STUD ANCHOR KB-TZ2 1/2X3 3/4 SS304</t>
  </si>
  <si>
    <t xml:space="preserve"> 2210279 STUD ANCHOR KB-TZ2 5/8X6 SS304</t>
  </si>
  <si>
    <t xml:space="preserve"> 2334276 INJECTABLE MORTAR HY 200-R V3 330/1/WH</t>
  </si>
  <si>
    <t xml:space="preserve"> 2112763 SET TOOL &amp; DRILL BIT COMBO HDI-P 3/8"</t>
  </si>
  <si>
    <t>Greenlee ETS8LX11 1070313 18V 8mm Li-Ion Cable Tray/ Bolt Cutter w/ 120V Charger</t>
  </si>
  <si>
    <t>Greenlee</t>
  </si>
  <si>
    <t>ETS8LX11</t>
  </si>
  <si>
    <t>GREENLEE</t>
  </si>
  <si>
    <t>JCB 507-42 10518718 FORKLIFT VARIABLE REACH 7000# 38-44'
Serial: 2435855 Meter out: 3887.50
Meter in: . 00</t>
  </si>
  <si>
    <t>507-42</t>
  </si>
  <si>
    <t>VIRGINIA LOCAL RENTAL TAX [ VSTR TAX/MCI]</t>
  </si>
  <si>
    <t>RENTAL</t>
  </si>
  <si>
    <t>MOBILE TRL 40' HC 11609030 CONTAINER 8X40X9'6" HI CUBE
Serial: WNGU5112345 Substituted for: CONTAINER 8X40X8 ' 6"</t>
  </si>
  <si>
    <t>MOBILE TRL</t>
  </si>
  <si>
    <t>40 HC</t>
  </si>
  <si>
    <t xml:space="preserve"> 61110-RG6 262469 1-PORT MOD JACK 110 8W8P UTP T568A/B CAT6 QUICKPORT EXTREME 6+ GRAY</t>
  </si>
  <si>
    <t>61110-RG6</t>
  </si>
  <si>
    <t>61110RG6</t>
  </si>
  <si>
    <t>078477144602</t>
  </si>
  <si>
    <t>AK10575113</t>
  </si>
  <si>
    <t>LEV 61110RG6 1414891 QP C6 JACK GY</t>
  </si>
  <si>
    <t>GENIE AWP-40SDC 10797076 PUSHAROUND 36-48' DC
Serial: AWPG-92469 Meter out: . 10
Meter in: . 00</t>
  </si>
  <si>
    <t>GENIE</t>
  </si>
  <si>
    <t>AWP-40SDC</t>
  </si>
  <si>
    <t>GENIE AWP-40SDC 11202556 PUSHAROUND 36-48' DC
Serial: AWPP-101224 Meter out: 1.00 Meter in: . 00</t>
  </si>
  <si>
    <t>VIRGINIA LOCAL RENTAL TAX</t>
  </si>
  <si>
    <t xml:space="preserve"> NMF4 351960 NETMANAGER HIGH CAPACITY HORIZONTAL CABLE MANAGERS 7.0"H X 19.0"WX6.2"D</t>
  </si>
  <si>
    <t>NMF4</t>
  </si>
  <si>
    <t xml:space="preserve"> UTP28SP15 MM15-PA7SD-01 CBL ASSY MOD 28-4PR STRANDED CAT 6, SMALL DIAMETER, 15 FT NON-INTEG WHITE</t>
  </si>
  <si>
    <t>UTP28SP15</t>
  </si>
  <si>
    <t>CATAMOUNT</t>
  </si>
  <si>
    <t>CAT</t>
  </si>
  <si>
    <t xml:space="preserve"> LCCLCCP50+D3 677750 2-F JUMPER 10FT/3MTR 50/125 LC TO LC ULTRA POLISH AQUA OM3 PERFORMANCE+</t>
  </si>
  <si>
    <t>LCCLCCP50+D3</t>
  </si>
  <si>
    <t>095691501257</t>
  </si>
  <si>
    <t>RDG 50125 39MMX4 ISO HS 500B DIE</t>
  </si>
  <si>
    <t xml:space="preserve"> FEXLCLC42-MXF01 285377 2-F JUMPER 15FT 50/125 LC TO LC 1.6MM LAZRSPEED 550 FEXLCLC42-MXF015</t>
  </si>
  <si>
    <t>FEXLCLC42-MXF01</t>
  </si>
  <si>
    <t>Freight - Line Item</t>
  </si>
  <si>
    <t>PALADIN 625 11792451 SKID STEER TRENCHER ATTACHMENT
Serial: 680694</t>
  </si>
  <si>
    <t>PALADIN</t>
  </si>
  <si>
    <t xml:space="preserve"> 903/5411 SKID STEER FORK ATTACHMENT HEAVY DUTY</t>
  </si>
  <si>
    <t>TAKEUCHI TB290C 11540490 MINI EXCAVATOR 14001-19999#
Serial: 185109419 Meter out: 701.30 Meter in: . 00</t>
  </si>
  <si>
    <t>TAKEUCHI</t>
  </si>
  <si>
    <t>TB290C</t>
  </si>
  <si>
    <t>TAKEUCHI TL10V2-CR 11597228 SKID STEER TRACK LOADER 2400-2799#
Serial: 410006578 Meter out: 1035.40
Meter in: . 00</t>
  </si>
  <si>
    <t>TL10V2-CR</t>
  </si>
  <si>
    <t xml:space="preserve"> 902/5012 BACKHOE BUCKET 12"</t>
  </si>
  <si>
    <t>MOBILE TRL 40HC 11478728 CONTAINER 8X40X9'6" HI CUBE
Serial: GMXU3154255</t>
  </si>
  <si>
    <t>40HC</t>
  </si>
  <si>
    <t xml:space="preserve"> 902/5018 BACKHOE BUCKET 18"</t>
  </si>
  <si>
    <t>GENIE AWP-30SDC 11943422 PUSHAROUND 26-35' DC
Serial: 1050389234</t>
  </si>
  <si>
    <t>AWP-30SDC</t>
  </si>
  <si>
    <t xml:space="preserve"> 902/5148 BACKHOE DITCHING BUCKET 48"</t>
  </si>
  <si>
    <t>MOBILE 40HC 11412311 GLO/OFFICE CONTAINER 8X40X9 ' 6"
Serial: LCGU8209486</t>
  </si>
  <si>
    <t>MOBILE</t>
  </si>
  <si>
    <t>POLARIS PRO XD 4000D 11740126 UTV 4WD DSL 4SEAT CAB
Serial: 4XAP4FD43R8511842 Meter out: 320.19 Meter in: . 00</t>
  </si>
  <si>
    <t>POLARIS</t>
  </si>
  <si>
    <t>PRO XD 4000D</t>
  </si>
  <si>
    <t xml:space="preserve"> CPC3312-01F004 MM04-AV7E-02 CBL ASSY MOD 24-4PR STRANDED CAT6 T568A/B 4FT BLACK CPC3312-01F004</t>
  </si>
  <si>
    <t>CPC3312-01F004</t>
  </si>
  <si>
    <t xml:space="preserve"> 600/2485 WASTE HOLDING TANK</t>
  </si>
  <si>
    <t xml:space="preserve"> 600/2490 FRESH WATER SYSTEM</t>
  </si>
  <si>
    <t>WATER</t>
  </si>
  <si>
    <t xml:space="preserve"> 075/ 4054 SERVICE - FRESH WATER 5X WEEKLY</t>
  </si>
  <si>
    <t xml:space="preserve"> 075/4034 SERVICE - WASTE TANK 5X WEEKLY</t>
  </si>
  <si>
    <t>CUSHMAN TITAN XD 11672036 INDUSTRIAL ELECTRIC CART 4 WHEELED
Serial: 3600110 Meter out: 36.56 Meter in: . 00</t>
  </si>
  <si>
    <t>CUSHMAN</t>
  </si>
  <si>
    <t>TITAN XD</t>
  </si>
  <si>
    <t xml:space="preserve"> 075/4054 SERVICE - FRESH WATER 5X WEEKLY</t>
  </si>
  <si>
    <t>TX UNIT PROPERTY TAX</t>
  </si>
  <si>
    <t>CLUB CAR CARRYALL 1700 10537947 UTV 4WD DSL 4SEAT ROPS
Serial: 810888 Meter out: 1884.90 Meter in: . 00</t>
  </si>
  <si>
    <t>CLUB CAR</t>
  </si>
  <si>
    <t>CARRYALL 1700</t>
  </si>
  <si>
    <t>IN HEAVY EQUIP. EXCISE TAX</t>
  </si>
  <si>
    <t>MEC 2632SE 11096738 SCISSOR LIFT 24-26' ELECTRIC 30-36" WIDE
Serial: 16500654 Meter out: 3.37 Meter in: . 00</t>
  </si>
  <si>
    <t>MEC</t>
  </si>
  <si>
    <t>2632SE</t>
  </si>
  <si>
    <t>POLARIS PRO XD 4000D 11189037 UTV 4WD DSL 4SEAT ROPS
Serial: 4XABEPD47M8510733 Meter out: 854.71
Meter in: . 00</t>
  </si>
  <si>
    <t>SC HEAVY EQUIPMENT RENTAL FEE</t>
  </si>
  <si>
    <t>CLUB CAR CARRYALL 1700 10916735 UTV 4WD DSL 4SEAT ROPS
Serial: SD1938-007809 Meter out: 1325.80
Meter in: . 00</t>
  </si>
  <si>
    <t>POLARIS PRO XD 4000D 11342278 UTV 4WD DSL 4SEAT ROPS
Serial: 4XABEPD48M8515827 Meter out: 985.01
Meter in: . 00</t>
  </si>
  <si>
    <t xml:space="preserve"> 46095/40800 740477 UB1270 12V 7AH F1 AGM BATTERY</t>
  </si>
  <si>
    <t>46095/40800</t>
  </si>
  <si>
    <t>095691408006</t>
  </si>
  <si>
    <t>RDG 40800 E1589X S8A CHAIN &amp; SCR</t>
  </si>
  <si>
    <t xml:space="preserve"> 9600-630 CS102879 9600-630 12/24VDC,US32D,RIM,SURFACE MT, FIELD SELECTABLE</t>
  </si>
  <si>
    <t>9600-630</t>
  </si>
  <si>
    <t xml:space="preserve"> AL1024ULXPD8 310125 POWER SUPPLY-CHARGER, 24 FUSED DIST BRD</t>
  </si>
  <si>
    <t>AL1024ULXPD8</t>
  </si>
  <si>
    <t>012800528868</t>
  </si>
  <si>
    <t>RAYOVAC 10-24 HEARING AID BAT</t>
  </si>
  <si>
    <t xml:space="preserve"> 6005BKB00 323594 READER PROX POINT PLUS CLASSIC BLACK PIGTAIL CONFIG. SETTING 00</t>
  </si>
  <si>
    <t>6005BKB00</t>
  </si>
  <si>
    <t xml:space="preserve"> DS160 237989 REQUEST TO EXIT PIR WHITE</t>
  </si>
  <si>
    <t>DS160</t>
  </si>
  <si>
    <t>N/A FREIGHT</t>
  </si>
  <si>
    <t>TOYOTA 8FGU25 LP ONLY 11563736 FORKLIFT WHSE 5000# LP ONLY
Serial: 508FGU25-13508 Meter out: 351.92 Meter in: . 00</t>
  </si>
  <si>
    <t>TOYOTA</t>
  </si>
  <si>
    <t>8FGU25 LP ONLY</t>
  </si>
  <si>
    <t xml:space="preserve"> 9400-630 9400-630 CS450746 SLIM-LINE, RIM, SURF MT, GENESIS</t>
  </si>
  <si>
    <t>9400-630 9400-630</t>
  </si>
  <si>
    <t xml:space="preserve"> 5395CK100 286317 READER, THINLINE II, SETTING 00 WIEGAND, 18 INCH PIGTAIL BLACK</t>
  </si>
  <si>
    <t>5395CK100</t>
  </si>
  <si>
    <t>CUMMINS C100D2RE 11551922 GENERATOR 125-149 KVA TIER 4
(Triple
Serial: J220159337 Meter out: 4873.35 Meter in:</t>
  </si>
  <si>
    <t>CUMMINS</t>
  </si>
  <si>
    <t>C100D2RE</t>
  </si>
  <si>
    <t xml:space="preserve"> 241/8010 CABLE BANDED 5 WIRE 50'</t>
  </si>
  <si>
    <t>POWR2 P40.56/240 11434347 HYBRID POWER 40KVA/60KWH 1PH 240V
Serial: PP0406241222.005</t>
  </si>
  <si>
    <t>POWR2</t>
  </si>
  <si>
    <t>P40.56/240</t>
  </si>
  <si>
    <t>050169562406</t>
  </si>
  <si>
    <t>RACO 5624-0 1LMPHLDR W/RND CVR GRY</t>
  </si>
  <si>
    <t>SKYJACK SJ45T 7040-1429 BOOM 45-50' TELESCOPIC 4WD
Serial: 98001429 Meter out: 3513.30 Meter in: 3592.10</t>
  </si>
  <si>
    <t>SKYJACK</t>
  </si>
  <si>
    <t>SJ45T</t>
  </si>
  <si>
    <t>WESTERN 50TCG 10719739 TANK FUEL DOUBLE WALL 1000-1250 GAL
Serial: 17006253</t>
  </si>
  <si>
    <t>WESTERN</t>
  </si>
  <si>
    <t>50TCG</t>
  </si>
  <si>
    <t>DYED DIESEL</t>
  </si>
  <si>
    <t xml:space="preserve"> RR9207600 TANK DIESEL EXHAUST FLUID (DEF) 100 GAL</t>
  </si>
  <si>
    <t>BULK DYED DIESEL SALES</t>
  </si>
  <si>
    <t>POLARIS PRO XD 4000G 11224835 UTV 4WD GAS 4SEAT CAB
Serial: 4XABGP990M8511009 Meter out: 1358.80 Meter in: . 00</t>
  </si>
  <si>
    <t>PRO XD 4000G</t>
  </si>
  <si>
    <t>BULK DYED DIESEL SALES Fuel drop 1000.7g 2/18/25 Fuel drop 102g 2/19/25</t>
  </si>
  <si>
    <t>095327218252</t>
  </si>
  <si>
    <t>MULB 21825 1G POL-BRS DRYER PLT</t>
  </si>
  <si>
    <t>REFUELING SERVICE CHARGE WEEKEND FUEL CHARGE 2/23/25</t>
  </si>
  <si>
    <t>JLG 1055 11233552 FORKLIFT VARIABLE REACH 10000# 50'-62'
Serial: 0160108546 Meter out: 4189.99
Meter in: . 00</t>
  </si>
  <si>
    <t>JLG</t>
  </si>
  <si>
    <t>0160108546</t>
  </si>
  <si>
    <t>BULK DYED DIESEL SALES FUEL DROP 85.6G 3/14/25</t>
  </si>
  <si>
    <t>IDEAL 31-425 5GAL PULLING LUBE</t>
  </si>
  <si>
    <t>SUMNER 2118 11755068 LIFT MATERIAL 16-18' 400-650# MANUAL
Serial: 45363</t>
  </si>
  <si>
    <t>SUMNER</t>
  </si>
  <si>
    <t>095691453631</t>
  </si>
  <si>
    <t>RDG 45363 ADAPTER</t>
  </si>
  <si>
    <t>FORD F150CREWXLG4WD 11510032 TRUCK PU 1/2 TON 4X4 XL CREW CAB
Serial: 1FTEW1EB4NKE44207 Meter out: 20.00 Meter in: . 00</t>
  </si>
  <si>
    <t>FORD</t>
  </si>
  <si>
    <t>F150CREWXLG4WD</t>
  </si>
  <si>
    <t>MN ROAD IMPROVEMENT &amp; FOOD DELIVERY FEE</t>
  </si>
  <si>
    <t>POLARIS PRO XD 4000D 11897450 UTV 4WD DSL 4SEAT CAB
Serial: 4XAP4RD41S8823258 Meter out: . 67
Meter in: . 00</t>
  </si>
  <si>
    <t>POLARIS PRO XD 4000D 11881502 UTV 4WD DSL 4SEAT CAB
Serial: 4XAP4FD405S8823042 Meter out: . 63
Meter in: . 00</t>
  </si>
  <si>
    <t>POLARIS PRO XD 4000D 11881508 UTV 4WD DSL 4SEAT CAB
Serial: 4XAP4FD45S8822730 Meter out: . 75
Meter in: . 00</t>
  </si>
  <si>
    <t>MAXIS M6K-M 11220016 CABLE PULLER TUGGER 6000# ELECTRIC
Serial: 6K0819019</t>
  </si>
  <si>
    <t>MAXIS</t>
  </si>
  <si>
    <t>M6K-M</t>
  </si>
  <si>
    <t>SOUTHWIRE MAXIS</t>
  </si>
  <si>
    <t>MEC MME25 11372892 VERTICAL LIFT 24-27' SELF PROPELLED
Serial: 17300399 Meter out: 34.90
Meter in: . 00</t>
  </si>
  <si>
    <t>MME25</t>
  </si>
  <si>
    <t>MEC MME25 11372964 VERTICAL LIFT 24-27' SELF PROPELLED
Serial: 17300488 Meter out: 198.07
Meter in: . 00</t>
  </si>
  <si>
    <t>MEC MME20 11674582 VERTICAL LIFT 18-20' ELEC SELF PROPELLED
Serial: 17204991 Meter out: 78.03
Meter in: . 00</t>
  </si>
  <si>
    <t>MME20</t>
  </si>
  <si>
    <t>MEC MME25 11203161 VERTICAL LIFT 24-27' SELF PROPELLED
Serial: 17300146 Meter out: 101.05
Meter in: . 00</t>
  </si>
  <si>
    <t>MEC MME25 11552619 VERTICAL LIFT 24-27' SELF PROPELLED
Serial: 17301236 Meter out: 58. 33
Meter in: . 00</t>
  </si>
  <si>
    <t>OLDCASTLE PRECAST ENCLOSURES</t>
  </si>
  <si>
    <t>OLDCAST 17301236 CMC BOX UNIT</t>
  </si>
  <si>
    <t>MEC MME25 11674989 VERTICAL LIFT 24-27' SELF PROPELLED
Serial: 17302367 Meter out: 95.82
Meter in: . 00</t>
  </si>
  <si>
    <t xml:space="preserve"> AX108181 949198 KCONN MFLEX FP KIT 4-P WHITE</t>
  </si>
  <si>
    <t>AX108181</t>
  </si>
  <si>
    <t>KIT</t>
  </si>
  <si>
    <t xml:space="preserve"> 16-2C SOL BC FRPVC FA-1602C-1-2S-03 FOIL SHD
75C</t>
  </si>
  <si>
    <t>16-2C SOL BC FRPVC</t>
  </si>
  <si>
    <t xml:space="preserve">MM07-ORC6ARDG10-06_ MM07-ORC6ARDG10-06 </t>
  </si>
  <si>
    <t xml:space="preserve"> 11301-701 249442 CABLE RUNWAY BUTT SPLICE KIT FOR 1.5" STRINGERS STEEL, BLACK</t>
  </si>
  <si>
    <t>11301-701</t>
  </si>
  <si>
    <t>CHATSWORTH PRODUCTS</t>
  </si>
  <si>
    <t>AK10992810</t>
  </si>
  <si>
    <t>11301701 CHATSWORTH PRODUCTS INCORPORATED BUTT SPLICE 1.5 STRG BKZ</t>
  </si>
  <si>
    <t xml:space="preserve"> 2065-10-9 </t>
  </si>
  <si>
    <t xml:space="preserve"> 02341-001 10277034 P1467-LE COMPACT OUTDOOR, 5MP NEMA 4X, IP66, IP67, IK10 DAY/NIGHT, BULLET B8A44FE3C9F7</t>
  </si>
  <si>
    <t>02341-001</t>
  </si>
  <si>
    <t>IK10</t>
  </si>
  <si>
    <t>ILSCO IK-10 COP SPLIT BOLT CONN</t>
  </si>
  <si>
    <t xml:space="preserve"> 02327-001 10232500 P3265-LV FIXED DOME CAMERA, HDTV 1080 2MP, VANDAL RESISTANT, LED B8A44FEA32CD
669B3KPV00201
669B3KPV00202
669B3KPV00203
669B3KPV00204
669B3KPV00205</t>
  </si>
  <si>
    <t>02327-001</t>
  </si>
  <si>
    <t xml:space="preserve"> 02328-001 10232501 P3265-LVE FIXED DOME CAMERA OUTDOOR HDTV 1080 2MP 9MM VANDAL RESISTANT</t>
  </si>
  <si>
    <t>02328-001</t>
  </si>
  <si>
    <t xml:space="preserve"> 02415-001 10314003 AXIS P4705-PLVE OFFERS TWO CHANNELS WITH 2MP PER CHANNEL, AT A FRAME</t>
  </si>
  <si>
    <t>02415-001</t>
  </si>
  <si>
    <t xml:space="preserve"> 5504-641 541500 T91B63 CEILING MOUNT, AL WH 75CM/29.5" FITS P55-SERIES, Q60</t>
  </si>
  <si>
    <t>5504-641</t>
  </si>
  <si>
    <t xml:space="preserve"> 01513-001 1017660 T94N01D PENDANT KIT FOR P3717-PLE IP CAM, 1.5" NPS THREAD, WALL MOUNT</t>
  </si>
  <si>
    <t>01513-001</t>
  </si>
  <si>
    <t xml:space="preserve"> 40NKS-00-000000 10019462 SIGNO40, WALL MOUNT, 13.56MHZ &amp;125KHZ, OSDP/WIEGAND MOBILE READY, BLE</t>
  </si>
  <si>
    <t>40NKS-00-000000</t>
  </si>
  <si>
    <t xml:space="preserve"> 180-12-W CS446302 180-12 WHT CLOSED LOOP, 3/4" DIA, RECESSED</t>
  </si>
  <si>
    <t>180-12-W</t>
  </si>
  <si>
    <t xml:space="preserve"> UL1007/1569 16 1007-16/26-9-DYD6 26STR TNC PVC WHT DYED DK BLU 300V 80C UL CSA AWM</t>
  </si>
  <si>
    <t>UL1007/1569 16</t>
  </si>
  <si>
    <t>HARGER LIGHTNING PROTECTION</t>
  </si>
  <si>
    <t>HAR 162-6 1/2X6 CU CNCLD BASE</t>
  </si>
  <si>
    <t xml:space="preserve"> FSEX-24PMC-MOD 10052042 STROBE LIGHT, EXPLOSION-PROOF, SUPERVISED, LIMITED IN-RUSH, UL</t>
  </si>
  <si>
    <t>FSEX-24PMC-MOD</t>
  </si>
  <si>
    <t>FSEX24PMCMOD</t>
  </si>
  <si>
    <t>FED-SIG FSEX-24PMC-MOD STROBE LIGHT</t>
  </si>
  <si>
    <t xml:space="preserve"> WMXC-4R-SB 10352890 MOUNTING KIT, 90 DEGREE WALL, 4 WIRE, 121X, 24XST, 27XST/XL, RED</t>
  </si>
  <si>
    <t>WMXC-4R-SB</t>
  </si>
  <si>
    <t xml:space="preserve"> 8845-200-HP00-0 AMZ-00004-GSO IOT SENSOR WALLMOUNT ENTERPRISE READER HF-ONLY, AMAZON GSO</t>
  </si>
  <si>
    <t>8845-200-HP00-0</t>
  </si>
  <si>
    <t>AMAZON</t>
  </si>
  <si>
    <t xml:space="preserve"> 8845-200-HP00-0 AMZ-00004-GSO </t>
  </si>
  <si>
    <t>1418T25_ 1418T25 Pail of 72 Citrus Orange Hand Wipes</t>
  </si>
  <si>
    <t>2896A542_ 2896A542 Short-Length Drill Bit, Black-Oxide High-Speed Steel, Gauge Size 29, 2" Overall Length</t>
  </si>
  <si>
    <t>7366T272_ 7366T272 T-Shirt Rags, Various Colors, 25 lbs.</t>
  </si>
  <si>
    <t>RAGS</t>
  </si>
  <si>
    <t>2522A668_ 2522A668 Uncoated High-Speed Steel General Purpose Tap, Taper Chamfer, 8-32 Thread Size, 3/4" Thread Length</t>
  </si>
  <si>
    <t>GENERAL CABLE</t>
  </si>
  <si>
    <t>GENERAL</t>
  </si>
  <si>
    <t xml:space="preserve"> 43542060 #4 GR60 1/2"X20' REBAR SOLD/PC</t>
  </si>
  <si>
    <t xml:space="preserve"> 1046THD 6" HEAVY T HINGE LAWRENCE</t>
  </si>
  <si>
    <t xml:space="preserve"> 113WT616 6" 16GA BLACK BAR TIE 5M/BAG</t>
  </si>
  <si>
    <t>BLS B22SH-120GLV 115161 CHNL 1-5/8X1-5/8IN HSLT10FT
1
= 1 FOOT</t>
  </si>
  <si>
    <t>BLS</t>
  </si>
  <si>
    <t>AK10627959</t>
  </si>
  <si>
    <t>BLS B22SH120GLV 115161 CHNL 158X158IN HSLT10FT 1 EACH 1 FOOT</t>
  </si>
  <si>
    <t>CPY250-C-8L-40K7-F-UL-DM-BZ_ CPY250-C-8L-40K7-F-UL-DM-BZ -</t>
  </si>
  <si>
    <t>BLS B201-ZN 115435 SQ WASHER 3/8IN ZNC PLTD</t>
  </si>
  <si>
    <t>B201-ZN</t>
  </si>
  <si>
    <t>AK10246086</t>
  </si>
  <si>
    <t>LEV 2320 SGL 121673 LKGRCPT L6-20R 20A 250V 2P3W</t>
  </si>
  <si>
    <t>LEV</t>
  </si>
  <si>
    <t>2320 SGL</t>
  </si>
  <si>
    <t>AK10570419</t>
  </si>
  <si>
    <t>L620R</t>
  </si>
  <si>
    <t>AK10557593</t>
  </si>
  <si>
    <t>L620R PASS &amp; SEYMOUR INC TURNLOK RECEPT SGL 3W 20A 250V</t>
  </si>
  <si>
    <t>BLS B104-ZN 115357 CRNR ANGL FTG 4H ZNC PLTD</t>
  </si>
  <si>
    <t>B104-ZN</t>
  </si>
  <si>
    <t>AK10245329</t>
  </si>
  <si>
    <t>B104ZN</t>
  </si>
  <si>
    <t>BLS B104ZN 115357 CRNR ANGL FTG 4H ZNC PLTD</t>
  </si>
  <si>
    <t>BLS B22SH-120GLV 115161 CHNL 1-5/8X1-5/8IN HSLT10FT</t>
  </si>
  <si>
    <t>BLS B22SH120GLV 115161 CHNL 158X158IN HSLT10FT</t>
  </si>
  <si>
    <t>DACE PC1500 1944694 PROCELL AA ALKALINE BATTERY 24/PK</t>
  </si>
  <si>
    <t>DACE</t>
  </si>
  <si>
    <t>PC1500</t>
  </si>
  <si>
    <t>AK10237455</t>
  </si>
  <si>
    <t>GREAVES CORPORATION</t>
  </si>
  <si>
    <t>GRVS PC1500 U DIE</t>
  </si>
  <si>
    <t>HOF ASE24X24X12NK 1101939 SCR CVR PULL BX</t>
  </si>
  <si>
    <t>HOF</t>
  </si>
  <si>
    <t>ASE24X24X12NK</t>
  </si>
  <si>
    <t>AK10637047</t>
  </si>
  <si>
    <t>HOF ASE24X24X8NK 133627 NMA1 SC BOX-NO K</t>
  </si>
  <si>
    <t>ASE24X24X8NK</t>
  </si>
  <si>
    <t>AK10637055</t>
  </si>
  <si>
    <t>HOFF ASE24X24X8NK NMA1 SC BOX-NO K</t>
  </si>
  <si>
    <t>IDE 36-241 643538 ELECTRONIC SCREWDRIVER</t>
  </si>
  <si>
    <t>IDE</t>
  </si>
  <si>
    <t>36-241</t>
  </si>
  <si>
    <t>AK10520858</t>
  </si>
  <si>
    <t>IDE 36241 643538 ELECTRONIC SCREWDRIVER</t>
  </si>
  <si>
    <t>- PT8300HGRY_ - PT8300HGRY 20A 125V PLUGTAIL DUP RECPT</t>
  </si>
  <si>
    <t>AK10558579_PAS PTRA6-STR 1973523 90 DEGREE 6 IN PT CON</t>
  </si>
  <si>
    <t>PAS</t>
  </si>
  <si>
    <t>PTRA6STR</t>
  </si>
  <si>
    <t>AK10558579</t>
  </si>
  <si>
    <t>PS PTRA6STR 123088 90 DEGREE 6 IN PT CONNECTOR</t>
  </si>
  <si>
    <t>AK10558373_PAS PT2097-HGGRY 3284615 SELF TEST PLUGTAIL GFCI HOS</t>
  </si>
  <si>
    <t>CRH 451 147659 3/4 SSCR CONN STL EMT</t>
  </si>
  <si>
    <t>CRH</t>
  </si>
  <si>
    <t>DOTT TEKW812 113392 8X1/2 WAFER SCREW</t>
  </si>
  <si>
    <t>DOTT</t>
  </si>
  <si>
    <t>TEKW812</t>
  </si>
  <si>
    <t>AK10589448</t>
  </si>
  <si>
    <t>DOTT TEKW812 113392 8X12 WAFER SCREW</t>
  </si>
  <si>
    <t>FLX MC-LED-AL-12/2G-STR-BN/GY 3223364 250FT</t>
  </si>
  <si>
    <t>FLX</t>
  </si>
  <si>
    <t>MC-LED-AL-12/2G-STR-BN/GY</t>
  </si>
  <si>
    <t>AK10416328</t>
  </si>
  <si>
    <t xml:space="preserve">PIC 1IN-RGD-GALV-CPLG 109059 </t>
  </si>
  <si>
    <t>PIC</t>
  </si>
  <si>
    <t>1IN-RGD-GALV-CPLG</t>
  </si>
  <si>
    <t>AK10987508</t>
  </si>
  <si>
    <t>ARLI 4110ST 3288910 SNAP IN 1/2IN KO SNAP2IT MC CONN</t>
  </si>
  <si>
    <t>ARLI</t>
  </si>
  <si>
    <t>4110ST</t>
  </si>
  <si>
    <t>AK10082583</t>
  </si>
  <si>
    <t>018997007285</t>
  </si>
  <si>
    <t>ARLI 4110ST 3288910 SNAP IN 12IN KO SNAP2IT MC CONN</t>
  </si>
  <si>
    <t>ARLI 414110ST 3288911 DPLX SNAP IN 1/2IN KO SNAP2IT M</t>
  </si>
  <si>
    <t>414110ST</t>
  </si>
  <si>
    <t>AK10082586</t>
  </si>
  <si>
    <t>018997007292</t>
  </si>
  <si>
    <t>ARLI 414110ST 3288911 DPLX SNAP IN 12IN KO SNAP2IT M</t>
  </si>
  <si>
    <t xml:space="preserve">EMT 3/4IN-EMT 167250 </t>
  </si>
  <si>
    <t>3/4IN-EMT</t>
  </si>
  <si>
    <t>ADJUSTMENTS</t>
  </si>
  <si>
    <t>MMM 77WHITE-3X20FT 3084393 FIRE RET ELEC ARC PROOF
1 PALLET NEEDED</t>
  </si>
  <si>
    <t>MMM</t>
  </si>
  <si>
    <t>77WHITE-3X20FT</t>
  </si>
  <si>
    <t>AK10004932</t>
  </si>
  <si>
    <t>MIW 49-25-1259 3552240 OPEN-LOK 1-1/8IN BLDS 10PK</t>
  </si>
  <si>
    <t>MIW</t>
  </si>
  <si>
    <t>49-25-1259</t>
  </si>
  <si>
    <t>045242571048</t>
  </si>
  <si>
    <t>MILW 49-25-1259 MULTI-TOOL BLADE</t>
  </si>
  <si>
    <t>MIW 49-25-1269 3552241 OPEN-LOK 1-3/4IN BLDS 3PK</t>
  </si>
  <si>
    <t>49-25-1269</t>
  </si>
  <si>
    <t>045242571079</t>
  </si>
  <si>
    <t>MILW 49-25-1269 MULTI-TOOL BLADE</t>
  </si>
  <si>
    <t>HOF ASG8X8X6NK 133384 GALV SC BOX-NO KO</t>
  </si>
  <si>
    <t>ASG8X8X6NK</t>
  </si>
  <si>
    <t>AK10637226</t>
  </si>
  <si>
    <t>HOF ASG8X8X6NK 133384 GALV SC BOXNO KO</t>
  </si>
  <si>
    <t>HOF ASG12X12X6NK 133387 GALV SC BOX-NO K</t>
  </si>
  <si>
    <t>ASG12X12X6NK</t>
  </si>
  <si>
    <t>AK10637144</t>
  </si>
  <si>
    <t>HOF ASG12X12X6NK 133387 GALV SC BOXNO K</t>
  </si>
  <si>
    <t>HOF A121236T1T 1382100 WIR TRGH N1 12X12X36IN STL</t>
  </si>
  <si>
    <t>A121236T1T</t>
  </si>
  <si>
    <t>AK10633985</t>
  </si>
  <si>
    <t>HOFF A121236T1T 12X12X36IN TROUGH</t>
  </si>
  <si>
    <t>SQD QOB230 156126 CKT-BKR 2P 240V 30A BLTON</t>
  </si>
  <si>
    <t>SQD</t>
  </si>
  <si>
    <t>SQD QOB120GFI 156034 CKT-BKR 1P 120V 20A BLTON GFCI</t>
  </si>
  <si>
    <t>QOB120GFI</t>
  </si>
  <si>
    <t>AK10804927</t>
  </si>
  <si>
    <t>LEV 2710 SGL 122189 LKGRCPT L14-30R 30A 125/250V</t>
  </si>
  <si>
    <t>2710 SGL</t>
  </si>
  <si>
    <t>AK10570760</t>
  </si>
  <si>
    <t>L1430R</t>
  </si>
  <si>
    <t>AK10557473</t>
  </si>
  <si>
    <t>P&amp;S L1430R TURNLOK SGL RECEPT 4W 30A 125250V</t>
  </si>
  <si>
    <t>THM RS4 OUTL-BX 561042 CVR STL TWL REC</t>
  </si>
  <si>
    <t>THM</t>
  </si>
  <si>
    <t>RS4 OUTL-BX</t>
  </si>
  <si>
    <t>AK10045231</t>
  </si>
  <si>
    <t>GRE 645-001 785236 PILOT DRILL 5/8TO2-1/4 05761</t>
  </si>
  <si>
    <t>GRE</t>
  </si>
  <si>
    <t>GRE 645001 PILOT DRILL 58TO214 05761</t>
  </si>
  <si>
    <t>GRE 645-7/8 785611 CARB-TIP HOLE CUTTER 05695</t>
  </si>
  <si>
    <t>645-7/8</t>
  </si>
  <si>
    <t>AK10975405</t>
  </si>
  <si>
    <t>GRE 64578 CARBTIP HOLE CUTTER 05695</t>
  </si>
  <si>
    <t>CFSY GW12 2580713 12FT CEILING WIRE/WITH OUT CLIP</t>
  </si>
  <si>
    <t>CFSY</t>
  </si>
  <si>
    <t>GW12</t>
  </si>
  <si>
    <t>DOTT TEKHW122 113300 HEX HEAD</t>
  </si>
  <si>
    <t>TEKHW122</t>
  </si>
  <si>
    <t>AK10589400</t>
  </si>
  <si>
    <t>MGI 01210009N 2450572 TOGGLE SWITCH DPST</t>
  </si>
  <si>
    <t>MGI</t>
  </si>
  <si>
    <t>01210009N</t>
  </si>
  <si>
    <t>AK10598730</t>
  </si>
  <si>
    <t>BUS FRN-R-25 113766 FUSE CL-RK5 25A 250V TD FSTRON</t>
  </si>
  <si>
    <t>BUS</t>
  </si>
  <si>
    <t>FRN-R-25</t>
  </si>
  <si>
    <t>AK10271523</t>
  </si>
  <si>
    <t xml:space="preserve">DLO 3/0-DLO-2KV-BLK-1000R 1964539 </t>
  </si>
  <si>
    <t>DLO</t>
  </si>
  <si>
    <t>3/0-DLO-2KV-BLK-1000R</t>
  </si>
  <si>
    <t>AK10434366</t>
  </si>
  <si>
    <t>MMM 3570G-N 115352 CONNECTOR-SEALING PACK</t>
  </si>
  <si>
    <t>3570G-N</t>
  </si>
  <si>
    <t>AK10002782</t>
  </si>
  <si>
    <t>3570GN</t>
  </si>
  <si>
    <t>051128591864</t>
  </si>
  <si>
    <t>MMM 3570GN 115352 CONNECTORSEALING PACK</t>
  </si>
  <si>
    <t xml:space="preserve">BARE BARE-SD-3/0-19STR-CU-1000R 2243921 </t>
  </si>
  <si>
    <t>BARE</t>
  </si>
  <si>
    <t>BARE-SD-3/0-19STR-CU-1000R</t>
  </si>
  <si>
    <t>AK10434262</t>
  </si>
  <si>
    <t>HAR 3/0-19 CU GND CDR</t>
  </si>
  <si>
    <t>THM R1028 662591 1/4X10 GALV THD ROD 1EA/1FT</t>
  </si>
  <si>
    <t>R1028</t>
  </si>
  <si>
    <t>AK10043943</t>
  </si>
  <si>
    <t>ARLI EMT125 121640 INSUL PSH-ON 1-1/4 BUSH NMT</t>
  </si>
  <si>
    <t>EMT125</t>
  </si>
  <si>
    <t>AK10083254</t>
  </si>
  <si>
    <t>018997122254</t>
  </si>
  <si>
    <t>ARLI EMT125 121640 INSUL PSHON 114 BUSH NMT</t>
  </si>
  <si>
    <t>DOTT RMC8322 114289 COMBO MACH SCR</t>
  </si>
  <si>
    <t>RMC8322</t>
  </si>
  <si>
    <t>AK10588835</t>
  </si>
  <si>
    <t>ARLI LV1 121634 LOW-V BRKT 1G</t>
  </si>
  <si>
    <t>LV1</t>
  </si>
  <si>
    <t>AK10083768</t>
  </si>
  <si>
    <t>MMM 69-1X36YD 788281 GLASS CLOTH TAPE</t>
  </si>
  <si>
    <t>69-1X36YD</t>
  </si>
  <si>
    <t>AK10004367</t>
  </si>
  <si>
    <t xml:space="preserve"> 36186SCP -
TYPE 1 PAINTED GALV SCREW COVER
NON-CANCELLABEL AND NON-RETURNABLE</t>
  </si>
  <si>
    <t>36186SCP</t>
  </si>
  <si>
    <t>BUR GC2626CT 242043 2/0 CBL TRAY CLAMP</t>
  </si>
  <si>
    <t>BUR</t>
  </si>
  <si>
    <t>GC2626CT</t>
  </si>
  <si>
    <t>AK10464507</t>
  </si>
  <si>
    <t>BUR GC2626CT 242043 20 CBL TRAY CLAMP</t>
  </si>
  <si>
    <t xml:space="preserve">PIC 3/4X3-1/2-GALV-NIP 109230 </t>
  </si>
  <si>
    <t>3/4X3-1/2-GALV-NIP</t>
  </si>
  <si>
    <t>AK10432147</t>
  </si>
  <si>
    <t>GENERIC CONDUIT</t>
  </si>
  <si>
    <t>NIP</t>
  </si>
  <si>
    <t>THM R1038 662602 3/8X10 GALV THREADED ROD 1EA/1FT</t>
  </si>
  <si>
    <t>R1038</t>
  </si>
  <si>
    <t>AK10043945</t>
  </si>
  <si>
    <t>GRVS R10-38 NON INS RING TERM</t>
  </si>
  <si>
    <t>DOTT FENW-14114 112838 FENDER WASHER</t>
  </si>
  <si>
    <t>FENW-14114</t>
  </si>
  <si>
    <t>AK10587322</t>
  </si>
  <si>
    <t>FENW14114</t>
  </si>
  <si>
    <t>DOTTIE FENW14114 FENDER WASHER</t>
  </si>
  <si>
    <t xml:space="preserve">EMT 2-1/2IN-EMT 167247 </t>
  </si>
  <si>
    <t>2-1/2IN-EMT</t>
  </si>
  <si>
    <t>CRH 466 775876 2-1/2 SSCR CPLG STL EMT</t>
  </si>
  <si>
    <t>AK10279883</t>
  </si>
  <si>
    <t>LEV GFNT2-W 3273691 20A SLIM GFCI W/WALLPLATE</t>
  </si>
  <si>
    <t>GFNT2-W</t>
  </si>
  <si>
    <t>AK10579765</t>
  </si>
  <si>
    <t>GFNT2W</t>
  </si>
  <si>
    <t>078477712764</t>
  </si>
  <si>
    <t>LEV GFNT2W 3273691 20A SLIM GFCI WWALLPLATE</t>
  </si>
  <si>
    <t>DOTT HN38 113157 STEEL HEX NUT</t>
  </si>
  <si>
    <t>HN38</t>
  </si>
  <si>
    <t>AK10587593</t>
  </si>
  <si>
    <t>PAS SS720 1762583 WLPLT 1G OPN 1.595IN STD SS SCR</t>
  </si>
  <si>
    <t>SS720</t>
  </si>
  <si>
    <t>AK10559422</t>
  </si>
  <si>
    <t>SQD QOB230GFI 156863 CKT-BKR 2P 240V 30A BLTON GFCI</t>
  </si>
  <si>
    <t>QOB230GFI</t>
  </si>
  <si>
    <t>AK10805054</t>
  </si>
  <si>
    <t xml:space="preserve">TFFN TFFN-16-PNK-26STR-CU-4/500CTN 166892 </t>
  </si>
  <si>
    <t>TFFN</t>
  </si>
  <si>
    <t>TFFN-16-PNK-26STR-CU-4/500CTN</t>
  </si>
  <si>
    <t>AK10437805</t>
  </si>
  <si>
    <t xml:space="preserve">TFFN TFFN-16-PUR-26STR-CU-4/500CTN 166914 </t>
  </si>
  <si>
    <t>TFFN-16-PUR-26STR-CU-4/500CTN</t>
  </si>
  <si>
    <t>AK10437809</t>
  </si>
  <si>
    <t>THM CY-1/2 160204 SW-BX 3X2X3-1/2IN W/EARS</t>
  </si>
  <si>
    <t>CY-1/2</t>
  </si>
  <si>
    <t>AK10029604</t>
  </si>
  <si>
    <t>FLX 3/4IN-STEEL-FLEX-REDUCED-WALL 152559 500R</t>
  </si>
  <si>
    <t>3/4IN-STEEL-FLEX-REDUCED-WALL</t>
  </si>
  <si>
    <t>FLEX</t>
  </si>
  <si>
    <t>CRH 709 147742 3/4 SQZ CONN MALL IRN FLEX
CRH</t>
  </si>
  <si>
    <t>AK10281452</t>
  </si>
  <si>
    <t>IDE 128169 EZ CK PLUS CIRCUIT TESTER</t>
  </si>
  <si>
    <t>AK10521845</t>
  </si>
  <si>
    <t xml:space="preserve">EMT 1IN-EMT 167243 </t>
  </si>
  <si>
    <t>1IN-EMT</t>
  </si>
  <si>
    <t>THM CPC100 1988719 1IN COBRA STRUT PIPECLMP</t>
  </si>
  <si>
    <t>EMT 3/4IN-EMT 167250 1 SSCR CPLG STL EMT</t>
  </si>
  <si>
    <t>THM CPC075 1988744 3/4IN COBRA STRUT PIPECLMP</t>
  </si>
  <si>
    <t>CPC075</t>
  </si>
  <si>
    <t>DOTT WDK8 113841 8 50PC WALL DRILLER KIT</t>
  </si>
  <si>
    <t>WDK8</t>
  </si>
  <si>
    <t>AK10028613</t>
  </si>
  <si>
    <t>HOF ASE12X12X4NK 133529 NMA1 SC BOX-NO K</t>
  </si>
  <si>
    <t>ASE12X12X4NK</t>
  </si>
  <si>
    <t>AK10589640</t>
  </si>
  <si>
    <t>AK10636972</t>
  </si>
  <si>
    <t>HOF ASE12X12X4NK 133529 NMA1 SC BOXNO K</t>
  </si>
  <si>
    <t>HOF ASE8X8X4NK 133520 NEMA1 SC BOX-NO KO</t>
  </si>
  <si>
    <t>ASE8X8X4NK</t>
  </si>
  <si>
    <t>AK10637118</t>
  </si>
  <si>
    <t>HOF ASE8X8X4NK 133520 NEMA1 SC BOXNO KO</t>
  </si>
  <si>
    <t xml:space="preserve">CRH 462 147680 </t>
  </si>
  <si>
    <t>EXTT 51-241-48 1381663 4PR/24CMP-CAT5E-WH-PP</t>
  </si>
  <si>
    <t>EXTT</t>
  </si>
  <si>
    <t>51-241-48</t>
  </si>
  <si>
    <t>AK10279843</t>
  </si>
  <si>
    <t>DOTT KW812 112858 K-LATH SCREW</t>
  </si>
  <si>
    <t>KW812</t>
  </si>
  <si>
    <t>AK10965736</t>
  </si>
  <si>
    <t>DOTTIE KW812 K-LATH SCREW</t>
  </si>
  <si>
    <t>BLS B22SH-120GLV 115161 CHNL 1-5/8X1-5/8IN HSLT10FT
1 EACH = 1 FOOT</t>
  </si>
  <si>
    <t>AK10587934</t>
  </si>
  <si>
    <t>MIW 48-22-0428 3586099 25FT MAG TAPE MEASURE</t>
  </si>
  <si>
    <t>48-22-0428</t>
  </si>
  <si>
    <t>045242587537</t>
  </si>
  <si>
    <t>MILW 48-22-0428 25FT TAPE MEASURE</t>
  </si>
  <si>
    <t>APPT GRUJ-2P 1028562 3/4 JCT UNILET</t>
  </si>
  <si>
    <t>APPT</t>
  </si>
  <si>
    <t>GRUJ-2P</t>
  </si>
  <si>
    <t>AK10078214</t>
  </si>
  <si>
    <t>GRUJ2P</t>
  </si>
  <si>
    <t>APPLETON</t>
  </si>
  <si>
    <t>APP GRUJ2P 34 JCT UNILET</t>
  </si>
  <si>
    <t>GRC 3/4IN-GALV-STL 162383 COND WHEATLAND ONLY</t>
  </si>
  <si>
    <t>GRC</t>
  </si>
  <si>
    <t>3/4IN-GALV-STL</t>
  </si>
  <si>
    <t>WHEATLAND TUBE</t>
  </si>
  <si>
    <t>WHEATLAND</t>
  </si>
  <si>
    <t>APPT UNF75NR 1027980 3/4 FEMALE UNION</t>
  </si>
  <si>
    <t>UNF75NR</t>
  </si>
  <si>
    <t>AK10079302</t>
  </si>
  <si>
    <t>APPT UNF75NR 34 FEMALE UNION</t>
  </si>
  <si>
    <t>BLS B2009ZN 115734 3/4 RGD COND CLMP 3/4IN ZNC PLTD</t>
  </si>
  <si>
    <t>B2009ZN</t>
  </si>
  <si>
    <t>AK10245918</t>
  </si>
  <si>
    <t>LITH CPHB 3540268 30LM MVOLT 50K 22IN HIGH BAY</t>
  </si>
  <si>
    <t>LITH</t>
  </si>
  <si>
    <t>CPHB</t>
  </si>
  <si>
    <t>AK10988006</t>
  </si>
  <si>
    <t>LITHONIA LIGHTING</t>
  </si>
  <si>
    <t>BLS B54SH-120GLV 115236 CHNL 13/16X1-5/8IN HSLOT</t>
  </si>
  <si>
    <t>B54SH-120GLV</t>
  </si>
  <si>
    <t>AK10249433</t>
  </si>
  <si>
    <t>B54SH120GLV</t>
  </si>
  <si>
    <t>BLS B54SH120GLV 115236 CHNL 1316X158IN HSLOT</t>
  </si>
  <si>
    <t>LEV OSFHU-ITW 2105366 HIBAY W/AISLE 360 LE</t>
  </si>
  <si>
    <t>OSFHU-ITW</t>
  </si>
  <si>
    <t>AK10582409</t>
  </si>
  <si>
    <t>BLS B280SS4 2735408 POST BASE FOR 1 5/8-</t>
  </si>
  <si>
    <t>B280SS4</t>
  </si>
  <si>
    <t>AK10247151</t>
  </si>
  <si>
    <t>BLS B280SS4 2735408 POST BASE FOR 1 58</t>
  </si>
  <si>
    <t xml:space="preserve">PIC 3/4X6-GALV-NIP 109240 </t>
  </si>
  <si>
    <t>3/4X6-GALV-NIP</t>
  </si>
  <si>
    <t>AK10432169</t>
  </si>
  <si>
    <t xml:space="preserve">PIC 3/4X5-GALV-NIP 109237 </t>
  </si>
  <si>
    <t>3/4X5-GALV-NIP</t>
  </si>
  <si>
    <t>AK10432162</t>
  </si>
  <si>
    <t>APPT EYS216 1033702 3/4 COND SEAL
APPT</t>
  </si>
  <si>
    <t>EYS216</t>
  </si>
  <si>
    <t>AK10077895</t>
  </si>
  <si>
    <t>APPT EYS216 1033702 34 COND SEAL</t>
  </si>
  <si>
    <t>APPT ELBY-75 1028431 3/4 90D CAPPED ELL
APPT</t>
  </si>
  <si>
    <t>ELBY-75</t>
  </si>
  <si>
    <t>AK10077775</t>
  </si>
  <si>
    <t>ELBY75</t>
  </si>
  <si>
    <t>APPT ELBY75 1028431 34 90D CAPPED ELL</t>
  </si>
  <si>
    <t xml:space="preserve">PIC 3/4XCLOSEX1-3/8-GALV-NIP 109208 </t>
  </si>
  <si>
    <t>3/4XCLOSEX1-3/8-GALV-NIP</t>
  </si>
  <si>
    <t>AK10424153</t>
  </si>
  <si>
    <t>THM CC-NPT-12-B 786338 BLACK 1/2NPT .394 -. 551 DIA</t>
  </si>
  <si>
    <t>CC-NPT-12-B</t>
  </si>
  <si>
    <t>AK10027705</t>
  </si>
  <si>
    <t>CRH 11 775816 1/2 LCKNT STL RGD/IMC</t>
  </si>
  <si>
    <t>AK10278468</t>
  </si>
  <si>
    <t>GRE 645-1-1/8 785613 CARB-TIP HOLE CUTTER 05697</t>
  </si>
  <si>
    <t>645-1-1/8</t>
  </si>
  <si>
    <t>AK10975389</t>
  </si>
  <si>
    <t>GRE 645118 CARBTIP HOLE CUTTER 05697</t>
  </si>
  <si>
    <t>GRE 462-1 128588 1GAL DARK THRDING OIL ATTENTION: Hazardous material: ORM-D hazard class. DO NOT SHIP AIR !!!</t>
  </si>
  <si>
    <t>462-1</t>
  </si>
  <si>
    <t>AK10974837</t>
  </si>
  <si>
    <t>GRE 4621 128588 1GAL DARK THRDING OIL ATTENTION: HAZARDOUS MATERIAL: ORMD HAZARD CLASS. DO NOT SHIP AIR !!!</t>
  </si>
  <si>
    <t>WIM V4000B-10 169219 IVY RACEWAY BASE P/FT 10FT</t>
  </si>
  <si>
    <t>WIM</t>
  </si>
  <si>
    <t>V4000B-10</t>
  </si>
  <si>
    <t>AK10566697</t>
  </si>
  <si>
    <t>LEV GFNT2-HGI 3273928 GFCIRCPT 5-20R 20A 2P3W IVY</t>
  </si>
  <si>
    <t>GFNT2-HGI</t>
  </si>
  <si>
    <t>AK10579756</t>
  </si>
  <si>
    <t>GFNT2</t>
  </si>
  <si>
    <t>078477712733</t>
  </si>
  <si>
    <t>AK10579739</t>
  </si>
  <si>
    <t>LEV GFNT2 SELFTEST SLIM NONTAMPER RESISTANT GFCIRECEPTACLE NEMA 520R 20A125V @ RECEPTACLE 20A125V FEEDTHROUGH BROWN CS10100</t>
  </si>
  <si>
    <t xml:space="preserve">PIC 2IN-90DEG-EMT-ELBOW 109462 </t>
  </si>
  <si>
    <t>2IN-90DEG-EMT-ELBOW</t>
  </si>
  <si>
    <t>AK10431938</t>
  </si>
  <si>
    <t>CRH 465 147687 2 SSCR CPLG STL EMT</t>
  </si>
  <si>
    <t>AK10279873</t>
  </si>
  <si>
    <t xml:space="preserve">THHN SS-THHN-2-GRN-19STR-CU-1000R 2251523 </t>
  </si>
  <si>
    <t>THHN</t>
  </si>
  <si>
    <t>SS-THHN-2-GRN-19STR-CU-1000R</t>
  </si>
  <si>
    <t>THM 6H5B 162989 COND HGR 2IN STL W/BOLT</t>
  </si>
  <si>
    <t>6H5B</t>
  </si>
  <si>
    <t>AK10020346</t>
  </si>
  <si>
    <t>MIW 48-89-2738 2447296 BIT 1/2IN THUNDERBOLT</t>
  </si>
  <si>
    <t>48-89-2738</t>
  </si>
  <si>
    <t>AK10610210</t>
  </si>
  <si>
    <t>045242167111</t>
  </si>
  <si>
    <t>MIW 48892738 2447296 BIT 12IN THUNDERBOLT</t>
  </si>
  <si>
    <t>MIW 48-89-2722 2447281 BIT 1/4IN THUNDERBOLT /5</t>
  </si>
  <si>
    <t>48-89-2722</t>
  </si>
  <si>
    <t>AK10610194</t>
  </si>
  <si>
    <t>045242166916</t>
  </si>
  <si>
    <t>MIW 48892722 BIT 14IN THUNDERBOLT 5</t>
  </si>
  <si>
    <t>MIW 48-89-2730 2434513 BIT 3/8IN THUNDERBOLT BLACK</t>
  </si>
  <si>
    <t>48-89-2730</t>
  </si>
  <si>
    <t>AK10610202</t>
  </si>
  <si>
    <t>045242167012</t>
  </si>
  <si>
    <t>MIL 48892730 BIT 38 THUNDERBOLT BLACK OXIDE</t>
  </si>
  <si>
    <t>BUR KS23 121911 2STR SPLIT BOLT CONN</t>
  </si>
  <si>
    <t>KS23</t>
  </si>
  <si>
    <t>AK10465300</t>
  </si>
  <si>
    <t>KICL 34790 148366 KC X60 DRY WIPE 10/CS
1EA=1 BOX 10 BOX=1 CAS</t>
  </si>
  <si>
    <t>KICL</t>
  </si>
  <si>
    <t>AK10988188</t>
  </si>
  <si>
    <t>095691347909</t>
  </si>
  <si>
    <t>RDG 34790 SET OF 5 PINS &amp; CLIP</t>
  </si>
  <si>
    <t>PAN PLT4H-L0 567594 CBL TIE 14.5L 368M BLK</t>
  </si>
  <si>
    <t>PLT4H-L0</t>
  </si>
  <si>
    <t>AK10699922</t>
  </si>
  <si>
    <t>PLT4HL0</t>
  </si>
  <si>
    <t>074983540921</t>
  </si>
  <si>
    <t>PAN PLT4HL0 567594 CBL TIE 14.5L 368M BLK</t>
  </si>
  <si>
    <t>CRH 2B 775575 1-IN COND HANGER W/BOLT
CRH</t>
  </si>
  <si>
    <t>2B</t>
  </si>
  <si>
    <t>AK10279370</t>
  </si>
  <si>
    <t>AMLG 5LCS-24-5CCT-WH 3574069 UCAB 15W 24IN LED</t>
  </si>
  <si>
    <t>AMLG</t>
  </si>
  <si>
    <t>5LCS-24-5CCT-WH</t>
  </si>
  <si>
    <t>LITH CPX2X4ALO8SWW7M2 3521176 35/40/50K LUMEN SELECT BOX CONTAINS 2 EA. SOLD BY THE EACH</t>
  </si>
  <si>
    <t>CPX2X4ALO8SWW7M2</t>
  </si>
  <si>
    <t>AK10061241</t>
  </si>
  <si>
    <t>LUMEN</t>
  </si>
  <si>
    <t>LITH CPX2X2ALO7SWW7M4 3521177 35/40/50K LUMEN SELECT</t>
  </si>
  <si>
    <t>CPX2X2ALO7SWW7M4</t>
  </si>
  <si>
    <t>AK10061234</t>
  </si>
  <si>
    <t>LEV IP710-DLZ 1975400 DMR SWITCH-0-10 V 120-277V</t>
  </si>
  <si>
    <t>IP710-DLZ</t>
  </si>
  <si>
    <t>AK10580201</t>
  </si>
  <si>
    <t>GRE 7212SP11 2863862 3/4 X 4.77 SPEED PUNCH DRAWSTUD</t>
  </si>
  <si>
    <t>7212SP11</t>
  </si>
  <si>
    <t>AK10975515</t>
  </si>
  <si>
    <t>ALB 100-C09EJ10 2308037 CONTACTOR-ELECTRONI</t>
  </si>
  <si>
    <t>ALB</t>
  </si>
  <si>
    <t>100-C09EJ10</t>
  </si>
  <si>
    <t>ALB 193-1EEDB 3513766 E100 3.2-16.0 ADIRECT MNT OVR</t>
  </si>
  <si>
    <t>193-1EEDB</t>
  </si>
  <si>
    <t>ALB 1606-XLP30E 1420596 24VDC 30W 120/2</t>
  </si>
  <si>
    <t>1606-XLP30E</t>
  </si>
  <si>
    <t>HOF A1212CH 134594 PIANO HINGE JIC BOX</t>
  </si>
  <si>
    <t>A1212CH</t>
  </si>
  <si>
    <t>AK10634002</t>
  </si>
  <si>
    <t xml:space="preserve">EMT 1/2IN-EMT-PUR 3180980 </t>
  </si>
  <si>
    <t>1/2IN-EMT-PUR</t>
  </si>
  <si>
    <t>HOF A12P12 134567 PANEL ONLY</t>
  </si>
  <si>
    <t>A12P12</t>
  </si>
  <si>
    <t>AK10634040</t>
  </si>
  <si>
    <t xml:space="preserve">EMT 1/2IN-EMT 167236 </t>
  </si>
  <si>
    <t>1/2IN-EMT</t>
  </si>
  <si>
    <t>CRH AMR2 2440032 4SQ CVR STL 5/8RSD 2G ADJ</t>
  </si>
  <si>
    <t>AMR2</t>
  </si>
  <si>
    <t>AK10284740</t>
  </si>
  <si>
    <t>CRH TP403 1956719 4SQ BX 2-1/8D 1/2IN-3/4IN KO</t>
  </si>
  <si>
    <t>CRH TP403 4SQ BX 218D 12IN34IN KO</t>
  </si>
  <si>
    <t>BLS BB8-16 129059 SW BX CLIP 16IN</t>
  </si>
  <si>
    <t>BB8-16</t>
  </si>
  <si>
    <t>AK10250227</t>
  </si>
  <si>
    <t>BB816</t>
  </si>
  <si>
    <t>BLS BB816 129059 SW BX CLIP 16IN</t>
  </si>
  <si>
    <t>CRH TP500 1994285 4SQ CVR STL 3/4RSD 2DEV</t>
  </si>
  <si>
    <t>TP500</t>
  </si>
  <si>
    <t>AK10302355</t>
  </si>
  <si>
    <t>CRH TP500 1994285 4SQ CVR STL 34RSD 2DEV</t>
  </si>
  <si>
    <t>CRH TP486 1994658 4SQ CVR STL 3/4RSD 1DEV</t>
  </si>
  <si>
    <t>TP486</t>
  </si>
  <si>
    <t>AK10302339</t>
  </si>
  <si>
    <t>CRH TP472 1994670 4SQ CVR STL FLT BLNK</t>
  </si>
  <si>
    <t xml:space="preserve">EMT 3/4IN-EMT-BLU 1950621 </t>
  </si>
  <si>
    <t>3/4IN-EMT-BLU</t>
  </si>
  <si>
    <t xml:space="preserve"> LSC353020-A3507 QUOTE 1006662</t>
  </si>
  <si>
    <t>LSC353020-A3507</t>
  </si>
  <si>
    <t>LSC353020</t>
  </si>
  <si>
    <t>HOFF LSC353020 ENCLOSURE</t>
  </si>
  <si>
    <t xml:space="preserve">THHN THHN-10-RED-19STR-CU-2/500CTN 156230 </t>
  </si>
  <si>
    <t>THHN-10-RED-19STR-CU-2/500CTN</t>
  </si>
  <si>
    <t>AK10438107</t>
  </si>
  <si>
    <t>THM 2922NM 166029 1/2 CORD L-T CONN NYL .5 -. 75</t>
  </si>
  <si>
    <t>2922NM</t>
  </si>
  <si>
    <t>AK10015736</t>
  </si>
  <si>
    <t>MMM 33-SUPER-3/4X76FT 3459182 PLSTC TAPE 1IN CORE</t>
  </si>
  <si>
    <t>33-SUPER-3/4X76FT</t>
  </si>
  <si>
    <t>CCTI 725116YW5S 3333897 18/4-22/2-22/4-22/6-SH-PL500R</t>
  </si>
  <si>
    <t>CCTI</t>
  </si>
  <si>
    <t>725116YW5S</t>
  </si>
  <si>
    <t>BUS LPJ-30SP 114020 FUSE CL-J 30A 600V TD LWPK</t>
  </si>
  <si>
    <t>LPJ-30SP</t>
  </si>
  <si>
    <t>AK10274535</t>
  </si>
  <si>
    <t>HOF A303608LP 608113 NEMA12 ENCL</t>
  </si>
  <si>
    <t>A303608LP</t>
  </si>
  <si>
    <t>AK10634658</t>
  </si>
  <si>
    <t>HOF A36P30 131458 PANEL ONLY</t>
  </si>
  <si>
    <t>A36P30</t>
  </si>
  <si>
    <t>AK10634911</t>
  </si>
  <si>
    <t>SQD NSYCVF85M24DPF 2701228 FAN WITH FILTER</t>
  </si>
  <si>
    <t>NSYCVF85M24DPF</t>
  </si>
  <si>
    <t>AK10800955</t>
  </si>
  <si>
    <t>CPR SA2 163039 TAPE SHIELD ADPTR .83-1.64</t>
  </si>
  <si>
    <t>CPR</t>
  </si>
  <si>
    <t>SA2</t>
  </si>
  <si>
    <t>AK10989799</t>
  </si>
  <si>
    <t>SQD NSYCAG125LPF 2701229 OUTLET GRILL W/FILTER</t>
  </si>
  <si>
    <t>NSYCAG125LPF</t>
  </si>
  <si>
    <t>AK10800753</t>
  </si>
  <si>
    <t>SQD GV2P08 681792 IEC MAN STARTER</t>
  </si>
  <si>
    <t>GV2P08</t>
  </si>
  <si>
    <t>AK10790779</t>
  </si>
  <si>
    <t>SQD GV2P10 681801 IEC MAN STARTER</t>
  </si>
  <si>
    <t>GV2P10</t>
  </si>
  <si>
    <t>AK10790780</t>
  </si>
  <si>
    <t>SQD GV2P14 681550 IEC MINI STARTER</t>
  </si>
  <si>
    <t>GV2P14</t>
  </si>
  <si>
    <t>AK10790781</t>
  </si>
  <si>
    <t>SQD GVAE1 1204399 IEC AUX CONTACT BLOCK</t>
  </si>
  <si>
    <t>GVAE1</t>
  </si>
  <si>
    <t>AK10790874</t>
  </si>
  <si>
    <t>SQD LC1D09BD 1182041 9A 24VDC CONTACTOR</t>
  </si>
  <si>
    <t>LC1D09BD</t>
  </si>
  <si>
    <t>AK10795094</t>
  </si>
  <si>
    <t>CRH TP7292 1994916 WP-CVR 1G VERT/HORI BLANK AL CRH</t>
  </si>
  <si>
    <t>TP7292</t>
  </si>
  <si>
    <t>AK10302672</t>
  </si>
  <si>
    <t>CRH TP7292 1994916 WPCVR 1G VERTHORI BLANK AL CRH</t>
  </si>
  <si>
    <t>SQD LC2D09BD 1182606 9A 24VDC REV CONTACTOR</t>
  </si>
  <si>
    <t>LC2D09BD</t>
  </si>
  <si>
    <t>AK10795921</t>
  </si>
  <si>
    <t>LEV 84014 119747 WLPLT 1G BLNK STD SS MTLC SCR</t>
  </si>
  <si>
    <t>AK10577502</t>
  </si>
  <si>
    <t>078477430200</t>
  </si>
  <si>
    <t>SQD XPSBAC14AP 3562347 ESTOP GUARD 24 V NO INPUTS</t>
  </si>
  <si>
    <t>XPSBAC14AP</t>
  </si>
  <si>
    <t>SQD GS2EU3N 3082516 30A RETROFIT DISCONNECT</t>
  </si>
  <si>
    <t>GS2EU3N</t>
  </si>
  <si>
    <t>AK10790668</t>
  </si>
  <si>
    <t>ARLI 851 SQZ 581278 CONN 1/2 D/C FLEX 90DEG</t>
  </si>
  <si>
    <t>851 SQZ</t>
  </si>
  <si>
    <t>AK10082925</t>
  </si>
  <si>
    <t>SQD GS2AE2 3082518 SHAFT 10MM X 10MM X 320MM</t>
  </si>
  <si>
    <t>GS2AE2</t>
  </si>
  <si>
    <t>AK10790636</t>
  </si>
  <si>
    <t>SQD GS2AH130 2922449 100-400A DISCONNECT HANDLE BLK</t>
  </si>
  <si>
    <t>GS2AH130</t>
  </si>
  <si>
    <t>AK10790651</t>
  </si>
  <si>
    <t>SQD ABL8RPS24050 2261566 POWER SUPPLY 24VDC 5AMP PHA</t>
  </si>
  <si>
    <t>ABL8RPS24050</t>
  </si>
  <si>
    <t>AK10782527</t>
  </si>
  <si>
    <t>BUS GMA-5-R 1986339 FUSE 5A 125V FA GLS 5X20MM</t>
  </si>
  <si>
    <t>GMA-5-R</t>
  </si>
  <si>
    <t>AK10272251</t>
  </si>
  <si>
    <t>BUS GMA-2-R 1986330 FUSE 2A 250V FA GLS 5X20MM</t>
  </si>
  <si>
    <t>GMA-2-R</t>
  </si>
  <si>
    <t>AK10272237</t>
  </si>
  <si>
    <t>BUS GMA-1-R 1986324 FUSE 1A 250V FA GLS 5X20MM</t>
  </si>
  <si>
    <t>GMA-1-R</t>
  </si>
  <si>
    <t>SQD VW3A7723 2992643 ATV 312 BRAKING RESISTOR</t>
  </si>
  <si>
    <t>VW3A7723</t>
  </si>
  <si>
    <t>AK10816130</t>
  </si>
  <si>
    <t>SQD GV2G445 656605 STARTER CABLE BUSBAR</t>
  </si>
  <si>
    <t>GV2G445</t>
  </si>
  <si>
    <t>AK10790722</t>
  </si>
  <si>
    <t>SQD GV1G09 537792 TOP FEED BLOCK</t>
  </si>
  <si>
    <t>GV1G09</t>
  </si>
  <si>
    <t>BUS LP-CC-1 113318 FUSE CL-CC 1A 600V TD LWPK</t>
  </si>
  <si>
    <t>LP-CC-1</t>
  </si>
  <si>
    <t>BUS LP-CC-2 113291 FUSE CL-CC 2A 600V TD LWPK</t>
  </si>
  <si>
    <t>LP-CC-2</t>
  </si>
  <si>
    <t>SQD GV2G245 656624 STARTER CABLE BUSBAR</t>
  </si>
  <si>
    <t>GV2G245</t>
  </si>
  <si>
    <t>AK10790717</t>
  </si>
  <si>
    <t>CRH TP404 793014 4SQ BX 1-1/2D 1/2IN-3/4IN KO</t>
  </si>
  <si>
    <t>TP404</t>
  </si>
  <si>
    <t>AK10302227</t>
  </si>
  <si>
    <t>CRH TP404 793014 4SQ BX 112D 12IN34IN KO</t>
  </si>
  <si>
    <t>CRH TP480 1994662 4SQ CVR STL FLT 1DEV</t>
  </si>
  <si>
    <t>TP480</t>
  </si>
  <si>
    <t>AK10302334</t>
  </si>
  <si>
    <t xml:space="preserve">EPVC ELB-PN-4IN-45DEG-36RAD-SCH40 174215 </t>
  </si>
  <si>
    <t>EPVC</t>
  </si>
  <si>
    <t>ELB-PN-4IN-45DEG-36RAD-SCH40</t>
  </si>
  <si>
    <t>AK10613894</t>
  </si>
  <si>
    <t xml:space="preserve">EPVC ELB-PN-4IN-45DEG-36RAD-SCH80 172919 </t>
  </si>
  <si>
    <t>ELB-PN-4IN-45DEG-36RAD-SCH80</t>
  </si>
  <si>
    <t>AK10054436</t>
  </si>
  <si>
    <t>PAN HSTT200-L 633175 HEAT SHRINK THIN 2 5</t>
  </si>
  <si>
    <t>HSTT200-L</t>
  </si>
  <si>
    <t>AK10687804</t>
  </si>
  <si>
    <t>HSTT200L</t>
  </si>
  <si>
    <t>074983914944</t>
  </si>
  <si>
    <t>PAND HSTT200-L HEAT SHRK TUBING</t>
  </si>
  <si>
    <t xml:space="preserve">EPVC ELB-PN-4IN-90DEG-36RAD-SCH80 172932 </t>
  </si>
  <si>
    <t>ELB-PN-4IN-90DEG-36RAD-SCH80</t>
  </si>
  <si>
    <t>AK10613683</t>
  </si>
  <si>
    <t>SQD GV2P07 681782 IEC MAN STARTER</t>
  </si>
  <si>
    <t>GV2P07</t>
  </si>
  <si>
    <t>AK10790778</t>
  </si>
  <si>
    <t>PAN DS1 116358 DUCT SEAL COMPOUND 1 LB</t>
  </si>
  <si>
    <t>DS1</t>
  </si>
  <si>
    <t>AK10665980</t>
  </si>
  <si>
    <t>PAN BT4LH-L0 565567 CBL TIE MTL BRB 14.9L 378MM BLK</t>
  </si>
  <si>
    <t>BT4LH-L0</t>
  </si>
  <si>
    <t>AK10662352</t>
  </si>
  <si>
    <t>BT4LHL0</t>
  </si>
  <si>
    <t>074983412686</t>
  </si>
  <si>
    <t>PAN BT4LHL0 565567 CBL TIE MTL BRB 14.9L 378MM BLK</t>
  </si>
  <si>
    <t>BLS B2017ZN 115759 4 RGD COND CLMP 4IN ZN 1EA= 2 BRACKETS, 1 BOLT, 1 NUT</t>
  </si>
  <si>
    <t>B2017ZN</t>
  </si>
  <si>
    <t>AK10246054</t>
  </si>
  <si>
    <t>BLS B2017ZN 115759 4 RGD COND CLMP 4IN ZN 1EA 2 BRACKETS 1 BOLT 1 NUT</t>
  </si>
  <si>
    <t>CHN GC207 152865 BRNZ GRD CONN</t>
  </si>
  <si>
    <t>CHN</t>
  </si>
  <si>
    <t>GC207</t>
  </si>
  <si>
    <t>AK10483091</t>
  </si>
  <si>
    <t>FLX 1-1/4IN-NMUA/UL/LFNC GRY 50C 152516 "NMUA FLEX IS NON-METALLIC WITHOUT METAL FLEX"</t>
  </si>
  <si>
    <t>1-1/4IN-NMUA/UL/LFNC GRY 50C</t>
  </si>
  <si>
    <t>METALLICS</t>
  </si>
  <si>
    <t>METALLIC</t>
  </si>
  <si>
    <t>LEV ODS15-IDW 978522 OCCY-SNSR WALL-SW WHT IR</t>
  </si>
  <si>
    <t>ODS15-IDW</t>
  </si>
  <si>
    <t>AK10582331</t>
  </si>
  <si>
    <t>SQD 909503 ZBVB1 LIGHT MODULE</t>
  </si>
  <si>
    <t>AK10826527</t>
  </si>
  <si>
    <t>FUNC RIB023P 2038165 RELAY 208-277AC 3PDT-N/O</t>
  </si>
  <si>
    <t>FUNC</t>
  </si>
  <si>
    <t>RIB023P</t>
  </si>
  <si>
    <t>WIM 5703WH 1026522 WHT STL SUPPORT CLIP</t>
  </si>
  <si>
    <t>5703WH</t>
  </si>
  <si>
    <t>AK10563623</t>
  </si>
  <si>
    <t>BUR BIBS2/03 968366 MULTIPLE WIRE TERM</t>
  </si>
  <si>
    <t>BIBS2/03</t>
  </si>
  <si>
    <t>AK10463325</t>
  </si>
  <si>
    <t>AMLG 5LCS-32-5CCT-WH 3574070 UCAB 16.5W 32IN LED</t>
  </si>
  <si>
    <t>5LCS-32-5CCT-WH</t>
  </si>
  <si>
    <t>AMLG 5LCS-16-5CCT-WH 3574067 UCAB 11W 16IN LED</t>
  </si>
  <si>
    <t>5LCS-16-5CCT-WH</t>
  </si>
  <si>
    <t>AMLG 5LCS-10-5CCT-WH 3574066 UCAB 7W 10IN LED</t>
  </si>
  <si>
    <t>5LCS-10-5CCT-WH</t>
  </si>
  <si>
    <t>AMLG 5LCS-32-5CCT-WH 3574070 UCAB 16.5W 32IN LED
Call Chris when in</t>
  </si>
  <si>
    <t xml:space="preserve">EPVC 2PC-EXP-CPLG-4IN-PVC 104529 </t>
  </si>
  <si>
    <t>2PC-EXP-CPLG-4IN-PVC</t>
  </si>
  <si>
    <t>AK10031740</t>
  </si>
  <si>
    <t xml:space="preserve">EPVC 2PC-EXP-CPLG-3IN-PVC 104527 </t>
  </si>
  <si>
    <t>2PC-EXP-CPLG-3IN-PVC</t>
  </si>
  <si>
    <t>AK10031735</t>
  </si>
  <si>
    <t xml:space="preserve">EPVC 2PC-EXP-CPLG-2IN-PVC 104525 </t>
  </si>
  <si>
    <t>2PC-EXP-CPLG-2IN-PVC</t>
  </si>
  <si>
    <t>AK10031728</t>
  </si>
  <si>
    <t xml:space="preserve">EPVC TERM-ADPT-2IN-PVC 104787 </t>
  </si>
  <si>
    <t>TERM-ADPT-2IN-PVC</t>
  </si>
  <si>
    <t>AK10031701</t>
  </si>
  <si>
    <t xml:space="preserve">EPVC TERM-ADPT-3IN-PVC 104813 </t>
  </si>
  <si>
    <t>TERM-ADPT-3IN-PVC</t>
  </si>
  <si>
    <t>AK10031707</t>
  </si>
  <si>
    <t xml:space="preserve">EPVC TERM-ADPT-4IN-PVC 104839 </t>
  </si>
  <si>
    <t>TERM-ADPT-4IN-PVC</t>
  </si>
  <si>
    <t>AK10031710</t>
  </si>
  <si>
    <t>BUR YGHC34C26 122797 500MCM COMPGRD TAP</t>
  </si>
  <si>
    <t>YGHC34C26</t>
  </si>
  <si>
    <t>AK10471434</t>
  </si>
  <si>
    <t>LEV 80714-W 120317 WLPLT 1G BLNK STD WHT NYL SCR</t>
  </si>
  <si>
    <t>80714-W</t>
  </si>
  <si>
    <t>AK10577128</t>
  </si>
  <si>
    <t>80714W</t>
  </si>
  <si>
    <t>078477493946</t>
  </si>
  <si>
    <t>LEV 80714W 120317 WLPLT 1G BLNK STD WHT NYL SCR</t>
  </si>
  <si>
    <t>RDAL FL3-LED51-B-4K-BRZ-DIM-KN 3550908 052152</t>
  </si>
  <si>
    <t>RDAL</t>
  </si>
  <si>
    <t>FL3-LED51-B-4K-BRZ-DIM-KN</t>
  </si>
  <si>
    <t>AK10762425</t>
  </si>
  <si>
    <t>HOF F88G48 134302 WRWY N1 8X8X48IN STL</t>
  </si>
  <si>
    <t>F88G48</t>
  </si>
  <si>
    <t>AK10640886</t>
  </si>
  <si>
    <t xml:space="preserve">RDAL FL3-LED51-B-4K-BRZ-DIM-KN 3550908 </t>
  </si>
  <si>
    <t>LTF LRU216R 124157 RDCR 100-60A 250V OR 100-30A 600</t>
  </si>
  <si>
    <t>LTF</t>
  </si>
  <si>
    <t>LRU216R</t>
  </si>
  <si>
    <t>AK10592741</t>
  </si>
  <si>
    <t>LITTELFUSE</t>
  </si>
  <si>
    <t>079458010671</t>
  </si>
  <si>
    <t>L-FSE LRU-216R FUSE REDUCER</t>
  </si>
  <si>
    <t>LTF FLSR020ID 124587 FUSE CL-RK5 20A 600V TD IND</t>
  </si>
  <si>
    <t>FLSR020ID</t>
  </si>
  <si>
    <t>AK10591554</t>
  </si>
  <si>
    <t>079458025385</t>
  </si>
  <si>
    <t>LTF FLSR020ID 124587 FUSE CLRK5 20A 600V TD IND</t>
  </si>
  <si>
    <t>THM DF4X1C-5200 919030 1 IN RISER ORG W/TAPE</t>
  </si>
  <si>
    <t>DF4X1C-5200</t>
  </si>
  <si>
    <t>SQD 8910DP32V14 272938 24V CONTACTOR Shop</t>
  </si>
  <si>
    <t>8910DP32V14</t>
  </si>
  <si>
    <t>PAN C1.5WH6 116325 1-1/2 WHT CVR P/FT</t>
  </si>
  <si>
    <t>C1.5WH6</t>
  </si>
  <si>
    <t>074983230624</t>
  </si>
  <si>
    <t>PAND C1.5WH6 1-1/2 WHT CVR P/FT</t>
  </si>
  <si>
    <t>PAN C2WH6 116329 2-IN WHT CVR P/FT</t>
  </si>
  <si>
    <t>C2WH6</t>
  </si>
  <si>
    <t>074983230822</t>
  </si>
  <si>
    <t>AK10662797</t>
  </si>
  <si>
    <t>PAN C2WH6 116329 2IN WHT CVR PFT</t>
  </si>
  <si>
    <t>PAN C1WH6 116322 1-IN WHT CVR P/FT</t>
  </si>
  <si>
    <t>C1WH6</t>
  </si>
  <si>
    <t>074983230426</t>
  </si>
  <si>
    <t>AK10662571</t>
  </si>
  <si>
    <t>PAN C1WH6 116322 1IN WHT CVR PFT</t>
  </si>
  <si>
    <t>NODT 60220 3387873 6-32 SP/PT 2 FLT H2 TAP
Shop</t>
  </si>
  <si>
    <t>NODT</t>
  </si>
  <si>
    <t>PAN PV14-10LF-C 572712 LOCKING FORK TERMIN Shop</t>
  </si>
  <si>
    <t>PV14-10LF-C</t>
  </si>
  <si>
    <t>PV1410LFC</t>
  </si>
  <si>
    <t>074983808106</t>
  </si>
  <si>
    <t>PAND PV14-10LF-C #14 VNL FK TERM</t>
  </si>
  <si>
    <t>ERAI 111.023 1413182 35MMX5.2MM DIN RAIL 2M
Shop</t>
  </si>
  <si>
    <t>ERAI</t>
  </si>
  <si>
    <t>PAN F1X2WH6 116589 DUCT P/FT Shop</t>
  </si>
  <si>
    <t>F1X2WH6</t>
  </si>
  <si>
    <t>074983375103</t>
  </si>
  <si>
    <t>PAND F1X2WH6 SLTD WIRING DUCT</t>
  </si>
  <si>
    <t>ERAI 111.044 2700112 HIGH-RISE AL DIN RAIL
Shop</t>
  </si>
  <si>
    <t>ERAI 111.023 1413182 35MMX5.2MM DIN RAIL 2M</t>
  </si>
  <si>
    <t>PAN F1X3WH6 614988 DUCT P/FT</t>
  </si>
  <si>
    <t>F1X3WH6</t>
  </si>
  <si>
    <t>074983375141</t>
  </si>
  <si>
    <t>PAND F1X3WH6 SLTD WIRING DUCT</t>
  </si>
  <si>
    <t>ERAI 111.044 2700112 HIGH-RISE AL DIN RAIL</t>
  </si>
  <si>
    <t>PAN F3X3WH6 116607 DUCT P/FT</t>
  </si>
  <si>
    <t>F3X3WH6</t>
  </si>
  <si>
    <t>074983375769</t>
  </si>
  <si>
    <t>PAND F3X3WH6 SLTD WIRING DUCT</t>
  </si>
  <si>
    <t>PAN F1.5X3WH6 614993 DUCT P/FT</t>
  </si>
  <si>
    <t>F1.5X3WH6</t>
  </si>
  <si>
    <t>074983375363</t>
  </si>
  <si>
    <t>PAND F1.5X3WH6 SLTD WIRING DUCT</t>
  </si>
  <si>
    <t>PAN F1X2WH6 116589 DUCT P/FT</t>
  </si>
  <si>
    <t>PAN ABM2S-A-D 117098 CBL TIE MNT ADH. WHT
Shop</t>
  </si>
  <si>
    <t>ABM2S-A-D</t>
  </si>
  <si>
    <t>ABM2SAD</t>
  </si>
  <si>
    <t>074983580309</t>
  </si>
  <si>
    <t>PAND ABM2S-A-D CBL TIE MOUNT</t>
  </si>
  <si>
    <t>PAN PV14-10R-C 117521 RING TERMINAL VINYL Shop</t>
  </si>
  <si>
    <t>PV14-10R-C</t>
  </si>
  <si>
    <t>PV1410RC</t>
  </si>
  <si>
    <t>074983801206</t>
  </si>
  <si>
    <t>AK10707365</t>
  </si>
  <si>
    <t>PANDUIT CORP PV1410RC AK10707365 COO:MEXICO RING TERMINAL</t>
  </si>
  <si>
    <t>PAN ABMM-A-D 117142 CBL TIE MNT ADH. WHT
Shop</t>
  </si>
  <si>
    <t>ABMM-A-D</t>
  </si>
  <si>
    <t>GRE 925-7/8 1148085 HSS CTTR Shop</t>
  </si>
  <si>
    <t>925-7/8</t>
  </si>
  <si>
    <t>AK10976021</t>
  </si>
  <si>
    <t>GRE 92578 1148085 HSS CTTR</t>
  </si>
  <si>
    <t>GRE 925-011 1148077 HSS CTTR ARBOR SM
Shop</t>
  </si>
  <si>
    <t>925-011</t>
  </si>
  <si>
    <t>AK10976013</t>
  </si>
  <si>
    <t>GRE 925011 1148077 HSS CTTR ARBOR SM</t>
  </si>
  <si>
    <t>PAN PV14-8R-C 117520 RING TERMINAL VINYL
Shop</t>
  </si>
  <si>
    <t>PV14-8R-C</t>
  </si>
  <si>
    <t>PV148RC</t>
  </si>
  <si>
    <t>074983801183</t>
  </si>
  <si>
    <t>AK10707438</t>
  </si>
  <si>
    <t>PANDUIT CORP PV148RC AK10707438 COO:MEXICO RING TERMINAL</t>
  </si>
  <si>
    <t>PAN PLT1.5M-M 116796 CBL TIE 5.6L 142M NATURAL
Shop</t>
  </si>
  <si>
    <t>PLT1.5M-M</t>
  </si>
  <si>
    <t>BUS S506-2-R 1986028 BUSS SMALL DIMENSION
Shop</t>
  </si>
  <si>
    <t>S506-2-R</t>
  </si>
  <si>
    <t>BUSS</t>
  </si>
  <si>
    <t>BUS FNQ-R-1 113190 FUSE CL-CC 1A 600V TD TRON
Shop</t>
  </si>
  <si>
    <t>FNQ-R-1</t>
  </si>
  <si>
    <t>BUS CHCC2DIU 2727663 FUSHLDR MOD CL-CC 2P 600V 30A
Shop</t>
  </si>
  <si>
    <t>CHCC2DIU</t>
  </si>
  <si>
    <t>SQD 9070T50D2 619439 TFMR Shop</t>
  </si>
  <si>
    <t>9070T50D2</t>
  </si>
  <si>
    <t>SQD PK5GTA 312608 LDCNTR GND BAR KIT
Shop</t>
  </si>
  <si>
    <t>PK5GTA</t>
  </si>
  <si>
    <t>BUR KA2U 122940 2AWG ALCU 1H TERM Shop</t>
  </si>
  <si>
    <t>KA2U</t>
  </si>
  <si>
    <t>NODT 39220 3081445 DRILL 29 HD SUPER PREMIUM
Shop</t>
  </si>
  <si>
    <t>095691392206</t>
  </si>
  <si>
    <t>RDG 39220 C148-1X 65R JP DRV PLATE</t>
  </si>
  <si>
    <t>PAN PV10-10R-L 117524 RING TERMINAL VINYL
Shop</t>
  </si>
  <si>
    <t>PV10-10R-L</t>
  </si>
  <si>
    <t>PV1010RL</t>
  </si>
  <si>
    <t>074983801329</t>
  </si>
  <si>
    <t>AK10707250</t>
  </si>
  <si>
    <t>PAN PV1010RL 117524 RING TERMINAL VINYL</t>
  </si>
  <si>
    <t>IDE 36-242 643448 4-IN SLOTTED SCRDRVR Shop</t>
  </si>
  <si>
    <t>36-242</t>
  </si>
  <si>
    <t>AK10520859</t>
  </si>
  <si>
    <t>IDE 36242 643448 4IN SLOTTED SCRDRVR</t>
  </si>
  <si>
    <t>NODT 39000 3081426 DRILL 7 HD SUPER PREMIUM
Shop</t>
  </si>
  <si>
    <t>095691390004</t>
  </si>
  <si>
    <t>RDG 39000 E808 OORB 7/8 BOLT HEAD</t>
  </si>
  <si>
    <t>NODT 60240 3387789 8-32 SP/PT PLUG 2 FLT H3
Shop</t>
  </si>
  <si>
    <t>095691602404</t>
  </si>
  <si>
    <t>RDG 60240 A2417 SPRING PIN</t>
  </si>
  <si>
    <t>NODT 92260 3081503 DRILL 36 HD SUPER PREMIUM
Shop</t>
  </si>
  <si>
    <t>NODT 60170 3387737 4-40 SP/PT PLUG TAP 2 FLT H2
Shop</t>
  </si>
  <si>
    <t>BUS FNQ-R-2 113198 FUSE CL-CC 2A 600V TD TRON
Shop</t>
  </si>
  <si>
    <t>FNQ-R-2</t>
  </si>
  <si>
    <t>PAN PV14-8LF-C 117565 LOCKING FORK TERMINA
Shop</t>
  </si>
  <si>
    <t>PV14-8LF-C</t>
  </si>
  <si>
    <t>PV148LFC</t>
  </si>
  <si>
    <t>074983808083</t>
  </si>
  <si>
    <t>PAND PV14-8LF-C #14 VNL FK TERM</t>
  </si>
  <si>
    <t>MMM 2090-48EC 3274262 1.88INX60YD-BL TAPE 1
Shop</t>
  </si>
  <si>
    <t>2090-48EC</t>
  </si>
  <si>
    <t>MMM 2090-48EC 3274262 1.88INX60YD-BL TAPE 1 Shop</t>
  </si>
  <si>
    <t>PAN D14-250-C 117575 FEMALE DISCONNECT NO
Shop</t>
  </si>
  <si>
    <t>D14-250-C</t>
  </si>
  <si>
    <t>D14250C</t>
  </si>
  <si>
    <t>074983822027</t>
  </si>
  <si>
    <t>PAND D14-250-C #14 N/I F DISC</t>
  </si>
  <si>
    <t>BUR CT50175C 1442736 8IN NYL CABLE TIE</t>
  </si>
  <si>
    <t>CT50175C</t>
  </si>
  <si>
    <t>AK10464082</t>
  </si>
  <si>
    <t>CRH 302DC 775077 1 O/S NIP D/C RGD/IMC</t>
  </si>
  <si>
    <t>302DC</t>
  </si>
  <si>
    <t>AK10279384</t>
  </si>
  <si>
    <t>BUR KA29U 122945 250 ALCU 1H TERM LUG</t>
  </si>
  <si>
    <t>KA29U</t>
  </si>
  <si>
    <t>AK10465147</t>
  </si>
  <si>
    <t>BRFI SGB-390CL 3010432 4 SPLT GND BSH W LUG 6-3/0</t>
  </si>
  <si>
    <t>BRFI</t>
  </si>
  <si>
    <t>SGB-390CL</t>
  </si>
  <si>
    <t>AK10624408</t>
  </si>
  <si>
    <t>SGB390CL</t>
  </si>
  <si>
    <t>BRFI SGB390CL 3010432 4 SPLT GND BSH W LUG 630</t>
  </si>
  <si>
    <t>BUR KA36U 122961 600 ALCU 1H TERM LUG</t>
  </si>
  <si>
    <t>KA36U</t>
  </si>
  <si>
    <t>AK10465163</t>
  </si>
  <si>
    <t>CRH GLL10-DC 2440516 4 GRND BSHG IT W/LUG</t>
  </si>
  <si>
    <t>GLL10-DC</t>
  </si>
  <si>
    <t>AK10296554</t>
  </si>
  <si>
    <t>GLL10DC</t>
  </si>
  <si>
    <t>CRH GLL10DC 2440516 4 GRND BSHG IT WLUG</t>
  </si>
  <si>
    <t>POWA PS-1100-AS-4-EG 2355206 GRC CLAMP</t>
  </si>
  <si>
    <t>POWA</t>
  </si>
  <si>
    <t>PS-1100-AS-4-EG</t>
  </si>
  <si>
    <t>AK10085856</t>
  </si>
  <si>
    <t>PS1100AS4EG</t>
  </si>
  <si>
    <t>ALLIED TUBE &amp; CONDUIT</t>
  </si>
  <si>
    <t>POWA PS1100AS4EG 2355206 GRC CLAMP</t>
  </si>
  <si>
    <t>HOF F66G24 134213 WRWY N1 6X6X24IN STL</t>
  </si>
  <si>
    <t>F66G24</t>
  </si>
  <si>
    <t>AK10640678</t>
  </si>
  <si>
    <t>CRH TP432 1956720 4SQ BX 2-1/8D WLD 3/4IN KO CRH</t>
  </si>
  <si>
    <t>TP432</t>
  </si>
  <si>
    <t>AK10302273</t>
  </si>
  <si>
    <t>CRH TP432 1956720 4SQ BX 218D WLD 34IN KO CRH</t>
  </si>
  <si>
    <t>CRH 457 775887 3 SSCR CONN STL EMT</t>
  </si>
  <si>
    <t>AK10279813</t>
  </si>
  <si>
    <t>ARLI EMT100 121627 INSUL PSH-ON 1 BUSH NMT</t>
  </si>
  <si>
    <t>EMT100</t>
  </si>
  <si>
    <t>AK10083252</t>
  </si>
  <si>
    <t>018997122209</t>
  </si>
  <si>
    <t>ARLI EMT100 121627 INSUL PSHON 1 BUSH NMT</t>
  </si>
  <si>
    <t>CRH TP276 1956713 4OCT BX 1-1/2D STL</t>
  </si>
  <si>
    <t>TP276</t>
  </si>
  <si>
    <t>AK10302053</t>
  </si>
  <si>
    <t>BLS N227-10-32-ZN 211064 SPRING NUT 10-32 ZNC PLTD</t>
  </si>
  <si>
    <t>N227-10-32-ZN</t>
  </si>
  <si>
    <t>AK10253725</t>
  </si>
  <si>
    <t>DOTT TEKPH-812 229853 PHIL HEAD</t>
  </si>
  <si>
    <t>TEKPH-812</t>
  </si>
  <si>
    <t>AK10589440</t>
  </si>
  <si>
    <t>TEKPH812</t>
  </si>
  <si>
    <t>DOTT TEKPH812 229853 PHIL HEAD</t>
  </si>
  <si>
    <t>POWA PS-3064-SQ-EG 3327660 DOUBLE COLUMN POST</t>
  </si>
  <si>
    <t>PS-3064-SQ-EG</t>
  </si>
  <si>
    <t>AK10086197</t>
  </si>
  <si>
    <t>CRH TP294 1994721 54171-1 DP 4 OCT</t>
  </si>
  <si>
    <t>TP294</t>
  </si>
  <si>
    <t>AK10302066</t>
  </si>
  <si>
    <t>DOTT TY164 113695 400FT 16-1/2G TIE WIRE 1 ROL/1 EA</t>
  </si>
  <si>
    <t>TY164</t>
  </si>
  <si>
    <t>AK10589535</t>
  </si>
  <si>
    <t>DOTT TY164 400FT 1612G TIE WIRE 1 ROL1 EA</t>
  </si>
  <si>
    <t>MMM CT6BK40-C 2709290 6IN BLK 40 LB CBL TIE 100/BAG</t>
  </si>
  <si>
    <t>CT6BK40-C</t>
  </si>
  <si>
    <t>AK10005660</t>
  </si>
  <si>
    <t>CT6BK40C</t>
  </si>
  <si>
    <t>051128592847</t>
  </si>
  <si>
    <t>MMM CT6BK40C 2709290 6IN BLK 40 LB CBL TIE 100BAG</t>
  </si>
  <si>
    <t xml:space="preserve">PIC 2-1/2IN-90DEG-EMT-ELBOW 109465 </t>
  </si>
  <si>
    <t>2-1/2IN-90DEG-EMT-ELBOW</t>
  </si>
  <si>
    <t>AK10431822</t>
  </si>
  <si>
    <t xml:space="preserve">ALUM XHHW-SSE-ALUM-250-BRN-22STR-4000R 2644602 </t>
  </si>
  <si>
    <t>ALUM</t>
  </si>
  <si>
    <t>XHHW-SSE-ALUM-250-BRN-22STR-4000R</t>
  </si>
  <si>
    <t>CRH GLL7-DC 2440510 2 1/2 GRND BUSHING 10</t>
  </si>
  <si>
    <t>GLL7-DC</t>
  </si>
  <si>
    <t>AK10296592</t>
  </si>
  <si>
    <t>GLL7DC</t>
  </si>
  <si>
    <t>CRH GLL7DC 2440510 2 12 GRND BUSHING 10</t>
  </si>
  <si>
    <t xml:space="preserve">ALUM XHHW-SSE-ALUM-250-ORG-22STR-4000R 2644603 </t>
  </si>
  <si>
    <t>XHHW-SSE-ALUM-250-ORG-22STR-4000R</t>
  </si>
  <si>
    <t>AK10439954</t>
  </si>
  <si>
    <t xml:space="preserve">ALUM XHHW-SSE-ALUM-250-YEL-22STR-4000R 2644604 </t>
  </si>
  <si>
    <t>XHHW-SSE-ALUM-250-YEL-22STR-4000R</t>
  </si>
  <si>
    <t>AK10439963</t>
  </si>
  <si>
    <t>POWA PS-1100-AS-2-1/2-EG 3347074 GRC CLAMP</t>
  </si>
  <si>
    <t>PS-1100-AS-2-1/2-EG</t>
  </si>
  <si>
    <t>AK10085850</t>
  </si>
  <si>
    <t xml:space="preserve">ALUM XHHW-SSE-ALUM-250-GRY-22STR-4000R 2644605 </t>
  </si>
  <si>
    <t>XHHW-SSE-ALUM-250-GRY-22STR-4000R</t>
  </si>
  <si>
    <t>AK10439952</t>
  </si>
  <si>
    <t>CRH 455 147668 2 SSCR CONN STL EMT</t>
  </si>
  <si>
    <t xml:space="preserve">ALUM XHHW-SSE-ALUM-1-GRN-8STR-2500R 3141419 </t>
  </si>
  <si>
    <t>XHHW-SSE-ALUM-1-GRN-8STR-2500R</t>
  </si>
  <si>
    <t>AK10439901</t>
  </si>
  <si>
    <t>POWA PS-1100-5-EG 3327147 STRUT STRAP</t>
  </si>
  <si>
    <t>PS-1100-5-EG</t>
  </si>
  <si>
    <t>AK10085835</t>
  </si>
  <si>
    <t>THM 6H2B 162975 COND HGR 1N STL W/BOLT</t>
  </si>
  <si>
    <t>6H2B</t>
  </si>
  <si>
    <t>AK10020333</t>
  </si>
  <si>
    <t>POWA PS-1000-AS-1-EG 3347077 EMT CLAMP</t>
  </si>
  <si>
    <t>PS-1000-AS-1-EG</t>
  </si>
  <si>
    <t>AK10085735</t>
  </si>
  <si>
    <t>POWA PS-1300-1-EG 3327090 1IN UNIVERSAL CLAMP</t>
  </si>
  <si>
    <t>PS-1300-1-EG</t>
  </si>
  <si>
    <t>AK10085897</t>
  </si>
  <si>
    <t>CRH 462 147680 1 SSCR CPLG STL EMT</t>
  </si>
  <si>
    <t>CRH C35-CGN 775086 COND BDY 1 C SER5 AL W/ CG</t>
  </si>
  <si>
    <t>C35-CGN</t>
  </si>
  <si>
    <t>AK10285661</t>
  </si>
  <si>
    <t>C35CGN</t>
  </si>
  <si>
    <t>CRH C35CGN 775086 COND BDY 1 C SER5 AL W CG</t>
  </si>
  <si>
    <t>CRH 452 147662 1 SSCR CONN STL EMT</t>
  </si>
  <si>
    <t>AK10279770</t>
  </si>
  <si>
    <t xml:space="preserve">EPVC END-BELL-1IN-PVC 104530 </t>
  </si>
  <si>
    <t>END-BELL-1IN-PVC</t>
  </si>
  <si>
    <t>AK10032033</t>
  </si>
  <si>
    <t>BELL OUTDOOR</t>
  </si>
  <si>
    <t>BELL</t>
  </si>
  <si>
    <t xml:space="preserve">EPVC END-BELL-2-1/2IN-PVC 104534 </t>
  </si>
  <si>
    <t>END-BELL-2-1/2IN-PVC</t>
  </si>
  <si>
    <t>AK10032038</t>
  </si>
  <si>
    <t xml:space="preserve">PIC 2IN-90DEG-GALV-ELBOW 109107 </t>
  </si>
  <si>
    <t>2IN-90DEG-GALV-ELBOW</t>
  </si>
  <si>
    <t>AK10431939</t>
  </si>
  <si>
    <t xml:space="preserve">PIC 1-1/2IN-90DEG-GALV-ELBOW 109105 </t>
  </si>
  <si>
    <t>1-1/2IN-90DEG-GALV-ELBOW</t>
  </si>
  <si>
    <t>AK10431452</t>
  </si>
  <si>
    <t>CRH 713 147747 2 SQZ CONN MALL IRN FLEX</t>
  </si>
  <si>
    <t>AK10281469</t>
  </si>
  <si>
    <t>CRH 18X 776157 3 LCKNT STL</t>
  </si>
  <si>
    <t>18X</t>
  </si>
  <si>
    <t>AK10278896</t>
  </si>
  <si>
    <t>CRH 17X 776159 2-1/2 LCKNT STL</t>
  </si>
  <si>
    <t>17X</t>
  </si>
  <si>
    <t>AK10278867</t>
  </si>
  <si>
    <t>CRH 51 775842 3/4 BUSHD NIP MALL IRN</t>
  </si>
  <si>
    <t>AK10280729</t>
  </si>
  <si>
    <t>PLPO NIA24PK 3275175 24PK BOTTLED WATER 16.9OZ
WATER</t>
  </si>
  <si>
    <t>PLPO</t>
  </si>
  <si>
    <t>NIA24PK</t>
  </si>
  <si>
    <t>DOTT 14H114 113557 1/4X1-1/4 ANCH</t>
  </si>
  <si>
    <t>14H114</t>
  </si>
  <si>
    <t>AK10586286</t>
  </si>
  <si>
    <t>DOTTIE 14H114 1/4X1-1/4 ANCH</t>
  </si>
  <si>
    <t xml:space="preserve">EPVC END-BELL-1-1/4IN-PVC 104531 </t>
  </si>
  <si>
    <t>END-BELL-1-1/4IN-PVC</t>
  </si>
  <si>
    <t>AK10058536</t>
  </si>
  <si>
    <t>CRH 461 147678 3/4 SSCR CPLG STL EMT</t>
  </si>
  <si>
    <t>AK10279832</t>
  </si>
  <si>
    <t>BLS B2002ZN 115715 3/4 EMT CLMP 3/4IN ZNC PLTD</t>
  </si>
  <si>
    <t>B2002ZN</t>
  </si>
  <si>
    <t>AK10245859</t>
  </si>
  <si>
    <t>BLS B2002ZN 34 EMT CLMP 34IN ZNC PLTD</t>
  </si>
  <si>
    <t>MMM 165WH4A 3533174 3/4X60 TEMFLEX VNYL TAPE WHT</t>
  </si>
  <si>
    <t>165WH4A</t>
  </si>
  <si>
    <t>AK10001786</t>
  </si>
  <si>
    <t>CRH 55 147595 2 BUSHD NIP MALL IRN</t>
  </si>
  <si>
    <t>AK10036069</t>
  </si>
  <si>
    <t>MIW 48-32-4511 3081729 SHOWAVE BIT TIP HOLD MAG 6IN</t>
  </si>
  <si>
    <t>48-32-4511</t>
  </si>
  <si>
    <t>AK10609265</t>
  </si>
  <si>
    <t>045242301980</t>
  </si>
  <si>
    <t>MIW 48324511 3081729 SHOWAVE BIT TIP HOLD MAG 6IN</t>
  </si>
  <si>
    <t>DOTT TEKHW-812 113197 HEX HEAD</t>
  </si>
  <si>
    <t>TEKHW-812</t>
  </si>
  <si>
    <t>AK10589416</t>
  </si>
  <si>
    <t>TEKHW812</t>
  </si>
  <si>
    <t>DOTT TEKHW812 113197 HEX HEAD</t>
  </si>
  <si>
    <t>CRH 201 775780 3/4 SNAP-ON CLMP STL EMT</t>
  </si>
  <si>
    <t>AK10279019</t>
  </si>
  <si>
    <t>NEPT WP1250P/3000 2457845 POLY MULETAPE</t>
  </si>
  <si>
    <t>NEPT</t>
  </si>
  <si>
    <t>WP1250P/3000</t>
  </si>
  <si>
    <t>ARLI EMT50 121637 INSUL PSH-ON 1/2 BUSH NMT</t>
  </si>
  <si>
    <t>EMT50</t>
  </si>
  <si>
    <t>AK10083273</t>
  </si>
  <si>
    <t>018997122001</t>
  </si>
  <si>
    <t>ARLI EMT50 121637 INSUL PSHON 12 BUSH NMT</t>
  </si>
  <si>
    <t>CRH TP500 1994285 4SQ CVR STL 3/4RSD 2DEV
CRH</t>
  </si>
  <si>
    <t>CRH TP500 1994285 4SQ CVR STL 34RSD 2DEVCRH</t>
  </si>
  <si>
    <t>HOF F44G48 133978 WRWY N1 4X4X48IN STL</t>
  </si>
  <si>
    <t>F44G48</t>
  </si>
  <si>
    <t>AK10640465</t>
  </si>
  <si>
    <t>HOF F44GCP 134192 CLSR PLT N1 4X4IN STL W/ KO</t>
  </si>
  <si>
    <t>F44GCP</t>
  </si>
  <si>
    <t>AK10640479</t>
  </si>
  <si>
    <t>HOF F44GCP 134192 CLSR PLT N1 4X4IN STL W KO</t>
  </si>
  <si>
    <t xml:space="preserve">EMT 4IN-EMT 167252 </t>
  </si>
  <si>
    <t>4IN-EMT</t>
  </si>
  <si>
    <t>HOF ASE10X10X4NK 133524 NMA1 SC BOX-NO K</t>
  </si>
  <si>
    <t>ASE10X10X4NK</t>
  </si>
  <si>
    <t>AK10636950</t>
  </si>
  <si>
    <t>HOFF ASE10X10X4NK NMA1 SC BOX-NO K</t>
  </si>
  <si>
    <t>ARLI 4010AST 2053338 SNAP2IT 3/8 SNAP-IN CONN D/C</t>
  </si>
  <si>
    <t>4010AST</t>
  </si>
  <si>
    <t>AK10082560</t>
  </si>
  <si>
    <t>018997403551</t>
  </si>
  <si>
    <t>ARLI 4010AST 2053338 38 SNAP2IT SNAPIN CONN DC</t>
  </si>
  <si>
    <t xml:space="preserve">EMT 1-1/4IN-EMT 167233 </t>
  </si>
  <si>
    <t>1-1/4IN-EMT</t>
  </si>
  <si>
    <t>BLS B2004ZN 115720 1-1/4 EMT CLMP 1-1/4IN ZNC PLTD</t>
  </si>
  <si>
    <t>B2004ZN</t>
  </si>
  <si>
    <t>AK10245872</t>
  </si>
  <si>
    <t>BLS B2004ZN 114 EMT CLMP 114IN ZNC PLTD</t>
  </si>
  <si>
    <t>CRH 453 147664 1-1/4 SSCR CONN STL EMT</t>
  </si>
  <si>
    <t>AK10279780</t>
  </si>
  <si>
    <t>CRH 934 775698 1-1/4 INSUL BUSH NMT 105DEG</t>
  </si>
  <si>
    <t>AK10282135</t>
  </si>
  <si>
    <t>CRH 463 147683 1-1/4 SSCR CPLG STL EMT</t>
  </si>
  <si>
    <t>AK10279853</t>
  </si>
  <si>
    <t>CRH 203 775778 1-1/4 SNAP-ON CLMP STL EMT</t>
  </si>
  <si>
    <t>AK10279031</t>
  </si>
  <si>
    <t>DOTT TEKHW-834 113201 HEX HEAD</t>
  </si>
  <si>
    <t>TEKHW-834</t>
  </si>
  <si>
    <t>AK10589420</t>
  </si>
  <si>
    <t>TEKHW834</t>
  </si>
  <si>
    <t>DOTT TEKHW834 113201 HEX HEAD</t>
  </si>
  <si>
    <t>THM BU506 900857 2 INSUL BUSH NMT RGD/IMC 105DEG</t>
  </si>
  <si>
    <t>BU506</t>
  </si>
  <si>
    <t>AK10025795</t>
  </si>
  <si>
    <t>THM 164544  1/2 KO BUSH POLY RGD/IMC BLK</t>
  </si>
  <si>
    <t>AK10016133</t>
  </si>
  <si>
    <t>THM 3211 164549 3/4 KO BUSH POLY RGD/IMC BLK</t>
  </si>
  <si>
    <t>AK10016134</t>
  </si>
  <si>
    <t>ARLI EMT75 121624 INSUL PSH-ON 3/4 BUSH NMT</t>
  </si>
  <si>
    <t>EMT75</t>
  </si>
  <si>
    <t>AK10083274</t>
  </si>
  <si>
    <t>018997122056</t>
  </si>
  <si>
    <t>ARLI EMT75 121624 INSUL PSHON 34 BUSH NMT</t>
  </si>
  <si>
    <t>ARLI LV2 121660 LOW-V BRKT 2G</t>
  </si>
  <si>
    <t>LV2</t>
  </si>
  <si>
    <t>AK10083772</t>
  </si>
  <si>
    <t>CRH TP428 1994609 4SQ EXTN RNG 1-1/2D</t>
  </si>
  <si>
    <t>CRH TP428 1994609 4SQ EXTN RNG 112D</t>
  </si>
  <si>
    <t>DOTT GP1050 997171 GRD PIGTAIL</t>
  </si>
  <si>
    <t>GP1050</t>
  </si>
  <si>
    <t>AK10587542</t>
  </si>
  <si>
    <t xml:space="preserve">PIC 1-1/4IN-90DEG-GALV-ELBOW 109102 </t>
  </si>
  <si>
    <t>1-1/4IN-90DEG-GALV-ELBOW</t>
  </si>
  <si>
    <t>AK10431539</t>
  </si>
  <si>
    <t>CRH 413 775851 COND STRAP 1-1/4IN 1H STL</t>
  </si>
  <si>
    <t>AK10279717</t>
  </si>
  <si>
    <t>IMC 1-1/4IN-INTER-MTL 167150 COND</t>
  </si>
  <si>
    <t>IMC</t>
  </si>
  <si>
    <t>1-1/4IN-INTER-MTL</t>
  </si>
  <si>
    <t>AK10431549</t>
  </si>
  <si>
    <t>CRH CPR4 147841 1-1/4 COMP NO-THD CONN MALL IRN CRH
AFTER HOURS WILL CALL</t>
  </si>
  <si>
    <t>CPR4</t>
  </si>
  <si>
    <t>AK10289531</t>
  </si>
  <si>
    <t>DOTT RMC1412 114132 COMBO MACH SCR</t>
  </si>
  <si>
    <t>RMC1412</t>
  </si>
  <si>
    <t>AK10588783</t>
  </si>
  <si>
    <t>CRH C25 775061 COND BDY 3/4 C SER5 AL</t>
  </si>
  <si>
    <t>C25</t>
  </si>
  <si>
    <t>AK10285648</t>
  </si>
  <si>
    <t>CRH 250 212290 COND BDY CVR 3/4 FM5 ALUM</t>
  </si>
  <si>
    <t>AK10279208</t>
  </si>
  <si>
    <t>CRH C35 774944 COND BDY 1 C SER5 AL</t>
  </si>
  <si>
    <t>C35</t>
  </si>
  <si>
    <t>CRH 350 231735 COND BDY CVR 1 FM5 STL</t>
  </si>
  <si>
    <t>AK10279591</t>
  </si>
  <si>
    <t>CRH 202 775779 1 SNAP-ON CLMP STL EMT</t>
  </si>
  <si>
    <t>CRH 932 775706 3/4 INSUL BUSH NMT 105DEG</t>
  </si>
  <si>
    <t>AK10279025</t>
  </si>
  <si>
    <t>AK10025790</t>
  </si>
  <si>
    <t>CRH GLL8-DC 2440512 3 GRND BUSHING 1005 C</t>
  </si>
  <si>
    <t>GLL8-DC</t>
  </si>
  <si>
    <t>AK10296599</t>
  </si>
  <si>
    <t>GLL8DC</t>
  </si>
  <si>
    <t>CRH GLL8DC 2440512 3 GRND BUSHING 1005 C</t>
  </si>
  <si>
    <t>BLS 129323 BU-2-4 BEAM CLMP 1/8-1/4IN FLNG</t>
  </si>
  <si>
    <t>AK10251652</t>
  </si>
  <si>
    <t>BLS BCH21 129076 CBL HK 1-5/16IN</t>
  </si>
  <si>
    <t>BCH21</t>
  </si>
  <si>
    <t>AK10250286</t>
  </si>
  <si>
    <t>BLS BCH21 129076 CBL HK 1516IN</t>
  </si>
  <si>
    <t>CRH 775706  3/4 INSUL BUSH NMT 105DEG</t>
  </si>
  <si>
    <t>AK10282133</t>
  </si>
  <si>
    <t>CRH TP586 1994392 4-11/16 SQ CVR STL 3/4RSD 2DEV CRH</t>
  </si>
  <si>
    <t>TP586</t>
  </si>
  <si>
    <t>AK10302442</t>
  </si>
  <si>
    <t>CRH TP586 1994392 41116 SQ CVR STL 34RSD 2DEV CRH</t>
  </si>
  <si>
    <t>MMM 35-WHITE-3/4X66FT 115230 CODING TAPE</t>
  </si>
  <si>
    <t>CRH TP403 1956719 4SQ BX 2-1/8D 1/2IN-3/4IN KO CRH</t>
  </si>
  <si>
    <t>CRH TP403 4SQ BX 218D 12IN34IN KO CRH</t>
  </si>
  <si>
    <t>DOTT TEKW8114 209682 8X1-1/4 WAFER SCREW</t>
  </si>
  <si>
    <t>TEKW8114</t>
  </si>
  <si>
    <t>AK10589445</t>
  </si>
  <si>
    <t>DOTTIE TEKW8114 8X1-1/4 WAFER SCREW</t>
  </si>
  <si>
    <t>IDE 30-3392 1074709 12AWG SOL WIRE PGTL</t>
  </si>
  <si>
    <t>30-3392</t>
  </si>
  <si>
    <t>AK10519968</t>
  </si>
  <si>
    <t>IDE 303392 1074709 12AWG SOL WIRE PGTL</t>
  </si>
  <si>
    <t>WAGO 221-615 3480657 WAGO SPLC CNNCTR-5 PORT 15/CT</t>
  </si>
  <si>
    <t>WAGO</t>
  </si>
  <si>
    <t>221-615</t>
  </si>
  <si>
    <t>AK10985725</t>
  </si>
  <si>
    <t>WAGO CORPORATION</t>
  </si>
  <si>
    <t>GRE 66PT-5/8 128632 NAIL EATER BIT</t>
  </si>
  <si>
    <t>66PT-5/8</t>
  </si>
  <si>
    <t>AK10975430</t>
  </si>
  <si>
    <t>66PT58</t>
  </si>
  <si>
    <t>GRE 66PT58 128632 NAIL EATER BIT</t>
  </si>
  <si>
    <t>POWA PS-500-EH-10-PG 2355218 1-5/8 X 13/16 14GA 10FT</t>
  </si>
  <si>
    <t>PS-500-EH-10-PG</t>
  </si>
  <si>
    <t>AK10086280</t>
  </si>
  <si>
    <t>ILSCO 13/16 250MCM COP SLDRING LUG</t>
  </si>
  <si>
    <t>ALTB SCH40 3615815 6IN 12INL PVC REPR SLV/SLIP CPL</t>
  </si>
  <si>
    <t>ALTB</t>
  </si>
  <si>
    <t>SCH40</t>
  </si>
  <si>
    <t xml:space="preserve">EPVC CPLG-4IN-5DEG-SCH40-PVC 3545347 </t>
  </si>
  <si>
    <t>CPLG-4IN-5DEG-SCH40-PVC</t>
  </si>
  <si>
    <t>FAST 145481 FW 1/2 SAE ZP</t>
  </si>
  <si>
    <t>FAST</t>
  </si>
  <si>
    <t>MSTF 3620938 1/2-13 HEX NUT ZP 100/PK</t>
  </si>
  <si>
    <t>MSTF</t>
  </si>
  <si>
    <t>FAST 3620935 1/2-13 X 1-1/4 ROD COUPLI 50/PK</t>
  </si>
  <si>
    <t>FAST 3620964 3/8-16 X 1 1/8 ROD COUPLI 100/BX</t>
  </si>
  <si>
    <t>OZE 4150S 2585275 1-1/2 SSCR CONN STL EMT</t>
  </si>
  <si>
    <t>OZE</t>
  </si>
  <si>
    <t>4150S</t>
  </si>
  <si>
    <t>AK10076673</t>
  </si>
  <si>
    <t>POWA PS-619-1/2-EG 2355220 SQ WASHER 9/16IN</t>
  </si>
  <si>
    <t>PS-619-1/2-EG</t>
  </si>
  <si>
    <t>AK10086413</t>
  </si>
  <si>
    <t>PS61912EG</t>
  </si>
  <si>
    <t>POWA 2355220 PS61912EG SQ WASHER 916IN</t>
  </si>
  <si>
    <t>FAST 3620868 1/2 MED SPLIT LOCKWASHER 100/PK</t>
  </si>
  <si>
    <t>FAST 3620857 3/8 MED SPLIT LOCKWASHER 100/PK</t>
  </si>
  <si>
    <t>GARI KOS50 3612489 1/2 BOLT-ON KO SEAL 50/BX</t>
  </si>
  <si>
    <t>GARI</t>
  </si>
  <si>
    <t>KOS50</t>
  </si>
  <si>
    <t>FAST 3620863 3/8-16 HEX NUT ZP 100/PK</t>
  </si>
  <si>
    <t>GARI KOS75 3612491 3/4 BOLT-ON KO SEAL 50/BX</t>
  </si>
  <si>
    <t>KOS75</t>
  </si>
  <si>
    <t>POWA PS-619-3/8-EG 2400827 SQ WASHER 3/8IN</t>
  </si>
  <si>
    <t>PS-619-3/8-EG</t>
  </si>
  <si>
    <t>AK10086423</t>
  </si>
  <si>
    <t>PS61938EG</t>
  </si>
  <si>
    <t>POWA PS61938EG 2400827 SQ WASHER 38IN</t>
  </si>
  <si>
    <t>FAST 3622802 3/8 X 1-1/4 FENDER WASHE</t>
  </si>
  <si>
    <t>TOPA 3612562 2112 3/8 SPR NUT PLTD</t>
  </si>
  <si>
    <t>TOPA</t>
  </si>
  <si>
    <t>FAST 3620880 1/4-20 X 7/8 ROD COUPLIN 100/PK</t>
  </si>
  <si>
    <t>MADQ 3660563 SW-5/8 1-5/8 SQ STRT WSHR 5/8 BLT ZN PL</t>
  </si>
  <si>
    <t>MADQ</t>
  </si>
  <si>
    <t>BLS N255ZN 211069 SPRING NUT 5/8-11 ZNC PLTD</t>
  </si>
  <si>
    <t>N255ZN</t>
  </si>
  <si>
    <t>AK10253752</t>
  </si>
  <si>
    <t>BLS N255ZN 211069 SPRING NUT 5811 ZNC PLTD</t>
  </si>
  <si>
    <t>MSTF 3660846 5/8-11 HEX NUT</t>
  </si>
  <si>
    <t xml:space="preserve">THHN SS-THHN-6-GRN-19STR-CU-500R 2251667 </t>
  </si>
  <si>
    <t>SS-THHN-6-GRN-19STR-CU-500R</t>
  </si>
  <si>
    <t>AK10437675</t>
  </si>
  <si>
    <t>MSTF 3660843 5/8 FLAT WSHR</t>
  </si>
  <si>
    <t>MADQ SN50TZ 3660561 1/2 SPLIT NUT</t>
  </si>
  <si>
    <t>SN50TZ</t>
  </si>
  <si>
    <t>TPZ SN50TZ 1/2 SPLIT NUT</t>
  </si>
  <si>
    <t>MSTF 3660845 5/8 SPLIT LOCK WSHR</t>
  </si>
  <si>
    <t>POWA PS-2651-T1-EG 2355216 CHANNEL TO BEAM CLAMP</t>
  </si>
  <si>
    <t>PS-2651-T1-EG</t>
  </si>
  <si>
    <t>AK10086140</t>
  </si>
  <si>
    <t>PS2651T1EG</t>
  </si>
  <si>
    <t>POWA PS2651T1EG 2355216 CHANNEL TO BEAM CLAMP</t>
  </si>
  <si>
    <t>POWA PS-TG-1/2-US-EG 3327083 TOP GRIP NUT</t>
  </si>
  <si>
    <t>PS-TG-1/2-US-EG</t>
  </si>
  <si>
    <t>POWA PS-200-EH-10-PG 3327076 12GA 1-5/8 X 1-5/8 CHNL</t>
  </si>
  <si>
    <t>PS-200-EH-10-PG</t>
  </si>
  <si>
    <t>AK10090555</t>
  </si>
  <si>
    <t>GARI SW-1/2 3612536 1-5/8 SQ STRUT WSHR</t>
  </si>
  <si>
    <t>SW-1/2</t>
  </si>
  <si>
    <t>GARI SW-1/2 3612536 1-5/8 SQ STRUT WSHR
8040945229</t>
  </si>
  <si>
    <t>POWA PS-TG-3/8-US-EG 2447674 TOP GRIP NUT</t>
  </si>
  <si>
    <t>PS-TG-3/8-US-EG</t>
  </si>
  <si>
    <t>AK10086706</t>
  </si>
  <si>
    <t>POWA PS-607-EG 2086287 4 CRNR FTG 4H BRACKET 90 DEG</t>
  </si>
  <si>
    <t>PS-607-EG</t>
  </si>
  <si>
    <t>AK10086384</t>
  </si>
  <si>
    <t>PS607EG</t>
  </si>
  <si>
    <t>POWA PS607EG 2086287 4 CRNR FTG 4H BRACKET 90 DEG</t>
  </si>
  <si>
    <t>POWA PS-604-EG 3329517 FITTING 90DEG 2HOLE 9/16</t>
  </si>
  <si>
    <t>PS-604-EG</t>
  </si>
  <si>
    <t>AK10086374</t>
  </si>
  <si>
    <t>MADQ SFBC60 3648637 STRUT TO BEAM CLMP/BOLT</t>
  </si>
  <si>
    <t>SFBC60</t>
  </si>
  <si>
    <t>GRVN SFBC60 STRUT TO BEAM CLMP/BOLT</t>
  </si>
  <si>
    <t>MADQ SFBC61 3648638 STRUT TO BEAM CLMP/BOLT</t>
  </si>
  <si>
    <t>SFBC61</t>
  </si>
  <si>
    <t>GRVN SFBC61 STRUT TO BEAM CLMP/BOLT</t>
  </si>
  <si>
    <t>BRFI 953 1053605 BEAM CLMP 2IN MALL IRN</t>
  </si>
  <si>
    <t>AK10623968</t>
  </si>
  <si>
    <t>BRFI 954 1053603 BEAM CLMP 2-1/2IN MALL IRN</t>
  </si>
  <si>
    <t>AK10623970</t>
  </si>
  <si>
    <t>FAST 2573859 HCS 1/2-13X3/4 GR5 ZP</t>
  </si>
  <si>
    <t>FAST HCS 2406109 1/2-13X1 GR5 ZP</t>
  </si>
  <si>
    <t>HCS</t>
  </si>
  <si>
    <t>FAST 3611841 1/2-13 X 1-1/2 HEX HEAD BOLT 50/BX</t>
  </si>
  <si>
    <t>FAST 2576200 HCS 1/2-13X2 GR5 ZP</t>
  </si>
  <si>
    <t>MSTF 3620938 - 1/2-13 HEX NUT ZP 100/PK</t>
  </si>
  <si>
    <t>POWA PS-1300-AS-3/4-EG 2355212 CHNL STRAP 3/4 STL</t>
  </si>
  <si>
    <t>PS-1300-AS-3/4-EG</t>
  </si>
  <si>
    <t>AK10085909</t>
  </si>
  <si>
    <t>POWA PS-1300-AS-1-EG 2355210 CHNL STRAP 1IN EMT STL</t>
  </si>
  <si>
    <t>PS-1300-AS-1-EG</t>
  </si>
  <si>
    <t>AK10085907</t>
  </si>
  <si>
    <t>POWA PS-1300-AS-1-1/2-EG 2355208 CHNL STRAP 1-1/2 STL</t>
  </si>
  <si>
    <t>PS-1300-AS-1-1/2-EG</t>
  </si>
  <si>
    <t>AK10085904</t>
  </si>
  <si>
    <t>POWA PS-1300-AS-2-EG 2355211 CHNL STRAP 2IN EMT STL</t>
  </si>
  <si>
    <t>PS-1300-AS-2-EG</t>
  </si>
  <si>
    <t>AK10085908</t>
  </si>
  <si>
    <t>ERIN WP12503000 3585421 1/2X3000 PULL TAPE</t>
  </si>
  <si>
    <t>ERIN</t>
  </si>
  <si>
    <t>WP12503000</t>
  </si>
  <si>
    <t>MSTF 3660848 - 5/8-11 X 1 HHMB</t>
  </si>
  <si>
    <t>MSTF 3660849 - 5/8-11 X 1-1/2 HHMB</t>
  </si>
  <si>
    <t>MSTF 3660850 - 5/8-11 X 2 HHMB</t>
  </si>
  <si>
    <t>MSTF 3660846 - 5/8-11 HEX NUT</t>
  </si>
  <si>
    <t>MSTF 3660843 - 5/8 FLAT WSHR</t>
  </si>
  <si>
    <t>MSTF 3660845 - 5/8 SPLIT LOCK WSHR</t>
  </si>
  <si>
    <t>MSTF 3660847 5/8-11 ROD CLPG</t>
  </si>
  <si>
    <t>MADQ 3000062EGTZ 3660554 5/8 BEAM CLAMP</t>
  </si>
  <si>
    <t>3000062EGTZ</t>
  </si>
  <si>
    <t>TPZ 3000062EGTZ 5/8 BEAM CLAMP</t>
  </si>
  <si>
    <t xml:space="preserve">EPVC CPLG-1IN-PVC 104456 </t>
  </si>
  <si>
    <t>CPLG-1IN-PVC</t>
  </si>
  <si>
    <t>AK10031655</t>
  </si>
  <si>
    <t>FAST 3620873 1/4 X 1 FENDER WASHER ZP 100/PK</t>
  </si>
  <si>
    <t>POWA PS-1100-AS-3/4-EG 3347086 GRC CLAMP</t>
  </si>
  <si>
    <t>PS-1100-AS-3/4-EG</t>
  </si>
  <si>
    <t>AK10085854</t>
  </si>
  <si>
    <t>FAST 27021 3613555 PHILIPS INSRT BIT 1/4IN HEX SHNK</t>
  </si>
  <si>
    <t>PHILIPS</t>
  </si>
  <si>
    <t>FAST 3622799 1/4 X 3 MAGNETIC BIT HOLD</t>
  </si>
  <si>
    <t>WHTL ZI12-158 3657253 FS PG10 1-5/8 LNG SLT WHEATLAND</t>
  </si>
  <si>
    <t>WHTL</t>
  </si>
  <si>
    <t>ZI12-158</t>
  </si>
  <si>
    <t xml:space="preserve">EPVC SCH40-4IN-20FT-PVC-COND 2243879 </t>
  </si>
  <si>
    <t>SCH40-4IN-20FT-PVC-COND</t>
  </si>
  <si>
    <t>AK10016820</t>
  </si>
  <si>
    <t xml:space="preserve">EPVC FEM-ADPT-4IN-PVC 105041 </t>
  </si>
  <si>
    <t>FEM-ADPT-4IN-PVC</t>
  </si>
  <si>
    <t>AK10432947</t>
  </si>
  <si>
    <t>FAST 2576200 - HCS 1/2-13X2 GR5 ZP</t>
  </si>
  <si>
    <t>APPT PLG-75R 1031197 3/4 RCSD PLG STL RGD/IMC APPT</t>
  </si>
  <si>
    <t>PLG-75R</t>
  </si>
  <si>
    <t>AK10078725</t>
  </si>
  <si>
    <t>APPT RB100-75 1037487 1X3/4 RED BUSH STL RGD/IMC APPT</t>
  </si>
  <si>
    <t>RB100-75</t>
  </si>
  <si>
    <t>AK10078735</t>
  </si>
  <si>
    <t>RB10075</t>
  </si>
  <si>
    <t>APPT RB10075 1X34 RED BUSH STL RGDIMC APPT</t>
  </si>
  <si>
    <t>AK10432182</t>
  </si>
  <si>
    <t>AK10431731</t>
  </si>
  <si>
    <t>MSTF 3660848 5/8-11 X 1 HHMB</t>
  </si>
  <si>
    <t>MSTF 3660849 5/8-11 X 1-1/2 HHMB</t>
  </si>
  <si>
    <t>THM 4250 164611 1/2 SHRT ELB MALL IRN RGD/IMC 90DEG</t>
  </si>
  <si>
    <t>AK10016694</t>
  </si>
  <si>
    <t>ALTB 6IN 3615264 GALV STL COND BLU CAP</t>
  </si>
  <si>
    <t>6IN</t>
  </si>
  <si>
    <t>GARI G1947 3612450 4SQ CVR F/GFI RCPT 1GGFI</t>
  </si>
  <si>
    <t>G1947</t>
  </si>
  <si>
    <t>IDE B-8-50-0-C 1524218 CBL TIE 8IN 50LB UV</t>
  </si>
  <si>
    <t>B-8-50-0-C</t>
  </si>
  <si>
    <t>AK10522601</t>
  </si>
  <si>
    <t>B8500C</t>
  </si>
  <si>
    <t>IDE B8500C 1524218 CBL TIE 8IN 50LB UV</t>
  </si>
  <si>
    <t>WHTL 3643020 1/2IN THREADED ROD ZINC 10FT</t>
  </si>
  <si>
    <t>THREADED ROD</t>
  </si>
  <si>
    <t>MADQ 3629169 2113 1/2-13 SPRING Packing Slip No: 8040952553</t>
  </si>
  <si>
    <t>GARI 3612536 SW-1/2 1-5/8 SQ STRUT WSHR
Packing Slip No: 8040952553</t>
  </si>
  <si>
    <t>FAST 145481 FW 1/2 SAE ZP Packing Slip No: 8040952553</t>
  </si>
  <si>
    <t>FAST 3620868 1/2 MED SPLIT LOCKWASHER 100/PK
Packing Slip No: 8040952553</t>
  </si>
  <si>
    <t>FAST 3620925 3/8 FLAT CUT WASHER ZP 100/PK</t>
  </si>
  <si>
    <t xml:space="preserve"> WHTL 3643019 3/8IN THREADED ROD ZINC 10FT</t>
  </si>
  <si>
    <t>LITH CSSL96ALO4MVOLTSWW380CRI 3502009 LED 8FT STRP</t>
  </si>
  <si>
    <t>CSSL96ALO4MVOLTSWW380CRI</t>
  </si>
  <si>
    <t>AK10061252</t>
  </si>
  <si>
    <t>FLX 14/3-SOL-LOCK-NUT 132015 FIXTURE WHIP C</t>
  </si>
  <si>
    <t>14/3-SOL-LOCK-NUT</t>
  </si>
  <si>
    <t>AK10433513</t>
  </si>
  <si>
    <t>LEV CR20-W 122485 DPLXRCPT 5-20R 20A WHT 125V 2P3W</t>
  </si>
  <si>
    <t>CR20-W</t>
  </si>
  <si>
    <t>AK10578982</t>
  </si>
  <si>
    <t>CR20W</t>
  </si>
  <si>
    <t>078477815458</t>
  </si>
  <si>
    <t>LEV CR20W 122485 DPLXRCPT 520R 20A WHT 125V 2P3W</t>
  </si>
  <si>
    <t>LEV 80409-NW 628505 WLPLT DECO 2G STD WHT NYL SCR</t>
  </si>
  <si>
    <t>80409-NW</t>
  </si>
  <si>
    <t>AK10576889</t>
  </si>
  <si>
    <t>80409NW</t>
  </si>
  <si>
    <t>078477488508</t>
  </si>
  <si>
    <t>LEV 80409NW 628505 WLPLT DECO 2G STD WHT NYL SCR</t>
  </si>
  <si>
    <t>LEV 80716-W 628552 WLPLT 2G DPLX STD WHT NYL SCR</t>
  </si>
  <si>
    <t>80716-W</t>
  </si>
  <si>
    <t>AK10577140</t>
  </si>
  <si>
    <t>80716W</t>
  </si>
  <si>
    <t>078477494042</t>
  </si>
  <si>
    <t>LEV 80716W 628552 WLPLT 2G DPLX STD WHT NYL SCR</t>
  </si>
  <si>
    <t>CRH TP404 793014 4SQ BX 1-1/2D 1/2IN-3/4IN KO CRH</t>
  </si>
  <si>
    <t>CRH TP404 793014 4SQ BX 112D 12IN34IN KO CRH</t>
  </si>
  <si>
    <t>ARLI BE1 121631 BX EXTN 1G 1-1/2IN PLST WHT</t>
  </si>
  <si>
    <t>BE1</t>
  </si>
  <si>
    <t>AK10083002</t>
  </si>
  <si>
    <t>CRH TP252 1994749 SW BX 3-1/2D STL EARS
CRH</t>
  </si>
  <si>
    <t>TP252</t>
  </si>
  <si>
    <t>AK10302033</t>
  </si>
  <si>
    <t>CRH TP252 1994749 SW BX 312D STL EARS</t>
  </si>
  <si>
    <t>THM 3210 164544 1/2 KO BUSH POLY RGD/IMC BLK</t>
  </si>
  <si>
    <t xml:space="preserve"> 9L-8027 *GASKET N</t>
  </si>
  <si>
    <t xml:space="preserve"> 165-3928 BOLT-HEX HEA S</t>
  </si>
  <si>
    <t xml:space="preserve"> 4N-0196 LOCK N</t>
  </si>
  <si>
    <t xml:space="preserve"> 1W-4658 CLAMP N</t>
  </si>
  <si>
    <t xml:space="preserve"> 2F-5152 CLAMP N</t>
  </si>
  <si>
    <t xml:space="preserve"> 1N-4750 TUBE N</t>
  </si>
  <si>
    <t xml:space="preserve"> 1N-4749 TUBE N</t>
  </si>
  <si>
    <t xml:space="preserve"> AB207502262D2R PLEASE SHIP VIA O/T 3/20/25 AM. CALL MIKE COLOMBO POWERFLEX 750 115V AC IO OPTION MODULE</t>
  </si>
  <si>
    <t>095691320254</t>
  </si>
  <si>
    <t>RDG 32025 30X1-1/8 REPL STRAP</t>
  </si>
  <si>
    <t xml:space="preserve"> AB800HR6A PLEASE SHIP
O/T 3/19/25 AM. CALL MIKE COLOMBO 30MM MOMENTARY PUSH BUTTON 800H PB</t>
  </si>
  <si>
    <t xml:space="preserve"> COLE4/0WELDCABLE 4/0 600V EPR WELD ROHS BLK EQUAL TO 01771.41.01 (IF 1000') *** HAND COIL</t>
  </si>
  <si>
    <t>02989228717</t>
  </si>
  <si>
    <t>01771.41.01</t>
  </si>
  <si>
    <t>CAROLINA PRODUCTS</t>
  </si>
  <si>
    <t>079407717712</t>
  </si>
  <si>
    <t>CRL 01771.41.01 4/0 WELD BLK 1000FT</t>
  </si>
  <si>
    <t xml:space="preserve"> AB1497BBASX3N CONTROL CIRCUIT TRANSFORMER</t>
  </si>
  <si>
    <t xml:space="preserve"> BUSSFNQR2 CLASS CC TIME DELAY</t>
  </si>
  <si>
    <t>05171214706</t>
  </si>
  <si>
    <t xml:space="preserve"> BUSSFNQR1 CLASS CC TIME DELAY</t>
  </si>
  <si>
    <t>05171214703</t>
  </si>
  <si>
    <t>TE Connectivity Deutsch ICT Connectors 1734-1041-ND DT WEDGELOCK</t>
  </si>
  <si>
    <t>TE Connectivity Deutsch ICT Connectors</t>
  </si>
  <si>
    <t>TE CONNECTIVITY</t>
  </si>
  <si>
    <t>Manufacturer Match</t>
  </si>
  <si>
    <t>MPN Match</t>
  </si>
  <si>
    <t>662364039159</t>
  </si>
  <si>
    <r>
      <t xml:space="preserve">ADV </t>
    </r>
    <r>
      <rPr>
        <sz val="11"/>
        <color rgb="FFFF0000"/>
        <rFont val="Aptos Narrow"/>
        <family val="2"/>
        <scheme val="minor"/>
      </rPr>
      <t>IOPA3P32N35I</t>
    </r>
    <r>
      <rPr>
        <sz val="11"/>
        <color theme="1"/>
        <rFont val="Aptos Narrow"/>
        <family val="2"/>
        <scheme val="minor"/>
      </rPr>
      <t xml:space="preserve"> ELE (3) F32T8 120-277V</t>
    </r>
  </si>
  <si>
    <r>
      <t xml:space="preserve">RAY-NUH H913 RAY </t>
    </r>
    <r>
      <rPr>
        <sz val="11"/>
        <color rgb="FFFF0000"/>
        <rFont val="Aptos Narrow"/>
        <family val="2"/>
        <scheme val="minor"/>
      </rPr>
      <t>H913</t>
    </r>
    <r>
      <rPr>
        <sz val="11"/>
        <color theme="1"/>
        <rFont val="Aptos Narrow"/>
        <family val="2"/>
        <scheme val="minor"/>
      </rPr>
      <t xml:space="preserve"> ROOF CLIPS 10 PER PK</t>
    </r>
  </si>
  <si>
    <r>
      <rPr>
        <sz val="11"/>
        <color rgb="FFFF0000"/>
        <rFont val="Aptos Narrow"/>
        <family val="2"/>
        <scheme val="minor"/>
      </rPr>
      <t xml:space="preserve"> H-3688GR</t>
    </r>
    <r>
      <rPr>
        <sz val="11"/>
        <color theme="1"/>
        <rFont val="Aptos Narrow"/>
        <family val="2"/>
        <scheme val="minor"/>
      </rPr>
      <t xml:space="preserve"> ULINE TRASH CAN - 44 GALLON, GRAY</t>
    </r>
  </si>
  <si>
    <r>
      <t xml:space="preserve"> </t>
    </r>
    <r>
      <rPr>
        <sz val="11"/>
        <color rgb="FFFF0000"/>
        <rFont val="Aptos Narrow"/>
        <family val="2"/>
        <scheme val="minor"/>
      </rPr>
      <t>H-7928</t>
    </r>
    <r>
      <rPr>
        <sz val="11"/>
        <color theme="1"/>
        <rFont val="Aptos Narrow"/>
        <family val="2"/>
        <scheme val="minor"/>
      </rPr>
      <t xml:space="preserve"> ULINE TRASH CAN DOLLY</t>
    </r>
  </si>
  <si>
    <r>
      <t xml:space="preserve"> </t>
    </r>
    <r>
      <rPr>
        <sz val="11"/>
        <color rgb="FFFF0000"/>
        <rFont val="Aptos Narrow"/>
        <family val="2"/>
        <scheme val="minor"/>
      </rPr>
      <t>BLINB22SH120GLV</t>
    </r>
    <r>
      <rPr>
        <sz val="11"/>
        <color theme="1"/>
        <rFont val="Aptos Narrow"/>
        <family val="2"/>
        <scheme val="minor"/>
      </rPr>
      <t xml:space="preserve"> 1-5/8 SLOT STRUT 10' GLV
1-5/8 SLOT STRUT 10' GLV</t>
    </r>
  </si>
  <si>
    <r>
      <t xml:space="preserve">CORD103SO250R_ </t>
    </r>
    <r>
      <rPr>
        <sz val="11"/>
        <color rgb="FFFF0000"/>
        <rFont val="Aptos Narrow"/>
        <family val="2"/>
        <scheme val="minor"/>
      </rPr>
      <t>CORD103SO250R</t>
    </r>
    <r>
      <rPr>
        <sz val="11"/>
        <color theme="1"/>
        <rFont val="Aptos Narrow"/>
        <family val="2"/>
        <scheme val="minor"/>
      </rPr>
      <t xml:space="preserve"> 10-3SO 600V CORD250' RL</t>
    </r>
  </si>
  <si>
    <r>
      <t>CORD103SO250R_</t>
    </r>
    <r>
      <rPr>
        <sz val="11"/>
        <color rgb="FFFF0000"/>
        <rFont val="Aptos Narrow"/>
        <family val="2"/>
        <scheme val="minor"/>
      </rPr>
      <t xml:space="preserve"> CORD103SO250R</t>
    </r>
    <r>
      <rPr>
        <sz val="11"/>
        <color theme="1"/>
        <rFont val="Aptos Narrow"/>
        <family val="2"/>
        <scheme val="minor"/>
      </rPr>
      <t xml:space="preserve"> 10-3SO 600V CORD250' RL</t>
    </r>
  </si>
  <si>
    <r>
      <t xml:space="preserve">H-8020-MAP_ </t>
    </r>
    <r>
      <rPr>
        <sz val="11"/>
        <color rgb="FFFF0000"/>
        <rFont val="Aptos Narrow"/>
        <family val="2"/>
        <scheme val="minor"/>
      </rPr>
      <t>H-8020-MAP</t>
    </r>
    <r>
      <rPr>
        <sz val="11"/>
        <color theme="1"/>
        <rFont val="Aptos Narrow"/>
        <family val="2"/>
        <scheme val="minor"/>
      </rPr>
      <t xml:space="preserve"> MOBILE HEAVY-DUTY PACKING TABLE - 72 X 36", MAPLE TOP WITH ROUNDED EDGE</t>
    </r>
  </si>
  <si>
    <r>
      <t xml:space="preserve">CADW#TAC3Q3Q_ </t>
    </r>
    <r>
      <rPr>
        <sz val="11"/>
        <color rgb="FFFF0000"/>
        <rFont val="Aptos Narrow"/>
        <family val="2"/>
        <scheme val="minor"/>
      </rPr>
      <t>CADW#TAC3Q3Q</t>
    </r>
    <r>
      <rPr>
        <sz val="11"/>
        <color theme="1"/>
        <rFont val="Aptos Narrow"/>
        <family val="2"/>
        <scheme val="minor"/>
      </rPr>
      <t xml:space="preserve"> 500MCM TO 500MCM TEE</t>
    </r>
  </si>
  <si>
    <r>
      <t xml:space="preserve"> </t>
    </r>
    <r>
      <rPr>
        <sz val="11"/>
        <color rgb="FFFF0000"/>
        <rFont val="Aptos Narrow"/>
        <family val="2"/>
        <scheme val="minor"/>
      </rPr>
      <t>NSIIIT-750</t>
    </r>
    <r>
      <rPr>
        <sz val="11"/>
        <color theme="1"/>
        <rFont val="Aptos Narrow"/>
        <family val="2"/>
        <scheme val="minor"/>
      </rPr>
      <t xml:space="preserve"> 750-250MCM INSUL TAP CONN
750-250MCM INSUL TAP CONN</t>
    </r>
  </si>
  <si>
    <r>
      <t xml:space="preserve"> </t>
    </r>
    <r>
      <rPr>
        <sz val="11"/>
        <color rgb="FFFF0000"/>
        <rFont val="Aptos Narrow"/>
        <family val="2"/>
        <scheme val="minor"/>
      </rPr>
      <t>H-3085R</t>
    </r>
    <r>
      <rPr>
        <sz val="11"/>
        <color theme="1"/>
        <rFont val="Aptos Narrow"/>
        <family val="2"/>
        <scheme val="minor"/>
      </rPr>
      <t xml:space="preserve"> WALL CLOCK - 9", RED ATTN: MARC ST MARTIN</t>
    </r>
  </si>
  <si>
    <r>
      <t xml:space="preserve"> </t>
    </r>
    <r>
      <rPr>
        <sz val="11"/>
        <color rgb="FFFF0000"/>
        <rFont val="Aptos Narrow"/>
        <family val="2"/>
        <scheme val="minor"/>
      </rPr>
      <t>S-2761R</t>
    </r>
    <r>
      <rPr>
        <sz val="11"/>
        <color theme="1"/>
        <rFont val="Aptos Narrow"/>
        <family val="2"/>
        <scheme val="minor"/>
      </rPr>
      <t xml:space="preserve"> JOB TICKET HOLDERS - 9 X 12", RED</t>
    </r>
  </si>
  <si>
    <r>
      <t xml:space="preserve"> </t>
    </r>
    <r>
      <rPr>
        <sz val="11"/>
        <color rgb="FFFF0000"/>
        <rFont val="Aptos Narrow"/>
        <family val="2"/>
        <scheme val="minor"/>
      </rPr>
      <t>H-7004BL</t>
    </r>
    <r>
      <rPr>
        <sz val="11"/>
        <color theme="1"/>
        <rFont val="Aptos Narrow"/>
        <family val="2"/>
        <scheme val="minor"/>
      </rPr>
      <t xml:space="preserve"> MOBILE PEDESTAL FILE - 2 DRAWER, BLACK</t>
    </r>
  </si>
  <si>
    <r>
      <t xml:space="preserve"> </t>
    </r>
    <r>
      <rPr>
        <sz val="11"/>
        <color rgb="FFFF0000"/>
        <rFont val="Aptos Narrow"/>
        <family val="2"/>
        <scheme val="minor"/>
      </rPr>
      <t>H-8621BL</t>
    </r>
    <r>
      <rPr>
        <sz val="11"/>
        <color theme="1"/>
        <rFont val="Aptos Narrow"/>
        <family val="2"/>
        <scheme val="minor"/>
      </rPr>
      <t xml:space="preserve"> ULINE LOCKOUT PADLOCK - KEYED DIFFERENT, 1 1/2" SHACKLE, BLACK</t>
    </r>
  </si>
  <si>
    <r>
      <t xml:space="preserve"> </t>
    </r>
    <r>
      <rPr>
        <sz val="11"/>
        <color rgb="FFFF0000"/>
        <rFont val="Aptos Narrow"/>
        <family val="2"/>
        <scheme val="minor"/>
      </rPr>
      <t>LP12-55</t>
    </r>
    <r>
      <rPr>
        <sz val="11"/>
        <color theme="1"/>
        <rFont val="Aptos Narrow"/>
        <family val="2"/>
        <scheme val="minor"/>
      </rPr>
      <t xml:space="preserve"> T9 IM-12550NB BATTERY LEAD 12V55AH</t>
    </r>
  </si>
  <si>
    <r>
      <t xml:space="preserve">EML </t>
    </r>
    <r>
      <rPr>
        <sz val="11"/>
        <color rgb="FFFF0000"/>
        <rFont val="Aptos Narrow"/>
        <family val="2"/>
        <scheme val="minor"/>
      </rPr>
      <t>400E90</t>
    </r>
    <r>
      <rPr>
        <sz val="11"/>
        <color theme="1"/>
        <rFont val="Aptos Narrow"/>
        <family val="2"/>
        <scheme val="minor"/>
      </rPr>
      <t xml:space="preserve"> 4IN 90D EMT ELB 4 IN 90DEG EMT ELBOW</t>
    </r>
  </si>
  <si>
    <r>
      <t xml:space="preserve">QMRK </t>
    </r>
    <r>
      <rPr>
        <sz val="11"/>
        <color rgb="FFFF0000"/>
        <rFont val="Aptos Narrow"/>
        <family val="2"/>
        <scheme val="minor"/>
      </rPr>
      <t>MPDS25</t>
    </r>
    <r>
      <rPr>
        <sz val="11"/>
        <color theme="1"/>
        <rFont val="Aptos Narrow"/>
        <family val="2"/>
        <scheme val="minor"/>
      </rPr>
      <t xml:space="preserve"> 25A PWR DISCONN SW</t>
    </r>
  </si>
  <si>
    <r>
      <t xml:space="preserve"> </t>
    </r>
    <r>
      <rPr>
        <sz val="11"/>
        <color rgb="FFFF0000"/>
        <rFont val="Aptos Narrow"/>
        <family val="2"/>
        <scheme val="minor"/>
      </rPr>
      <t>H-2793</t>
    </r>
    <r>
      <rPr>
        <sz val="11"/>
        <color theme="1"/>
        <rFont val="Aptos Narrow"/>
        <family val="2"/>
        <scheme val="minor"/>
      </rPr>
      <t xml:space="preserve"> POLYETHYLENE STEP STOOL - 3 STEPS</t>
    </r>
  </si>
  <si>
    <r>
      <t xml:space="preserve">H-3736R_ </t>
    </r>
    <r>
      <rPr>
        <sz val="11"/>
        <color rgb="FFFF0000"/>
        <rFont val="Aptos Narrow"/>
        <family val="2"/>
        <scheme val="minor"/>
      </rPr>
      <t>H-3736R</t>
    </r>
    <r>
      <rPr>
        <sz val="11"/>
        <color theme="1"/>
        <rFont val="Aptos Narrow"/>
        <family val="2"/>
        <scheme val="minor"/>
      </rPr>
      <t xml:space="preserve"> ULINE BLACK CROWD CONTROL POSTS WITH RETRACTABLE BELT - RED, 10'</t>
    </r>
  </si>
  <si>
    <r>
      <rPr>
        <sz val="11"/>
        <color rgb="FFFF0000"/>
        <rFont val="Aptos Narrow"/>
        <family val="2"/>
        <scheme val="minor"/>
      </rPr>
      <t xml:space="preserve"> S-2900BLU</t>
    </r>
    <r>
      <rPr>
        <sz val="11"/>
        <color theme="1"/>
        <rFont val="Aptos Narrow"/>
        <family val="2"/>
        <scheme val="minor"/>
      </rPr>
      <t xml:space="preserve"> ULINE COLOR TINTED STRETCH WRAP - CAST, 80 GAUGE, 18" X 1,500', BLUE</t>
    </r>
  </si>
  <si>
    <r>
      <t xml:space="preserve"> </t>
    </r>
    <r>
      <rPr>
        <sz val="11"/>
        <color rgb="FFFF0000"/>
        <rFont val="Aptos Narrow"/>
        <family val="2"/>
        <scheme val="minor"/>
      </rPr>
      <t>S-15993Y</t>
    </r>
    <r>
      <rPr>
        <sz val="11"/>
        <color theme="1"/>
        <rFont val="Aptos Narrow"/>
        <family val="2"/>
        <scheme val="minor"/>
      </rPr>
      <t xml:space="preserve"> 3M 3900 DUCT TAPE - 2" X 60 YDS, YELLOW</t>
    </r>
  </si>
  <si>
    <r>
      <t xml:space="preserve">B-LINE </t>
    </r>
    <r>
      <rPr>
        <sz val="11"/>
        <color rgb="FFFF0000"/>
        <rFont val="Aptos Narrow"/>
        <family val="2"/>
        <scheme val="minor"/>
      </rPr>
      <t>N224-ZN-1/4</t>
    </r>
    <r>
      <rPr>
        <sz val="11"/>
        <color theme="1"/>
        <rFont val="Aptos Narrow"/>
        <family val="2"/>
        <scheme val="minor"/>
      </rPr>
      <t xml:space="preserve"> PLTD SPRING NUT</t>
    </r>
  </si>
  <si>
    <r>
      <t xml:space="preserve">IPE </t>
    </r>
    <r>
      <rPr>
        <sz val="11"/>
        <color rgb="FFFF0000"/>
        <rFont val="Aptos Narrow"/>
        <family val="2"/>
        <scheme val="minor"/>
      </rPr>
      <t>078799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rgb="FFFF0000"/>
        <rFont val="Aptos Narrow"/>
        <family val="2"/>
        <scheme val="minor"/>
      </rPr>
      <t>MBCC20</t>
    </r>
    <r>
      <rPr>
        <sz val="11"/>
        <color theme="1"/>
        <rFont val="Aptos Narrow"/>
        <family val="2"/>
        <scheme val="minor"/>
      </rPr>
      <t>) QUART PVC MEDIUM BODY CEMENT CLEAR LOW VOC</t>
    </r>
  </si>
  <si>
    <r>
      <t xml:space="preserve">PAN </t>
    </r>
    <r>
      <rPr>
        <sz val="11"/>
        <color rgb="FFFF0000"/>
        <rFont val="Aptos Narrow"/>
        <family val="2"/>
        <scheme val="minor"/>
      </rPr>
      <t>UTP28X10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859573</t>
    </r>
    <r>
      <rPr>
        <sz val="11"/>
        <color theme="1"/>
        <rFont val="Aptos Narrow"/>
        <family val="2"/>
        <scheme val="minor"/>
      </rPr>
      <t xml:space="preserve"> CAT6A 28AWG UTP PC CM/LSZH IW 10FT EA</t>
    </r>
  </si>
  <si>
    <r>
      <t xml:space="preserve">PAN </t>
    </r>
    <r>
      <rPr>
        <sz val="11"/>
        <color rgb="FFFF0000"/>
        <rFont val="Aptos Narrow"/>
        <family val="2"/>
        <scheme val="minor"/>
      </rPr>
      <t>CFPL6WHY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282595</t>
    </r>
    <r>
      <rPr>
        <sz val="11"/>
        <color theme="1"/>
        <rFont val="Aptos Narrow"/>
        <family val="2"/>
        <scheme val="minor"/>
      </rPr>
      <t xml:space="preserve"> FACEPLATE 6PT SGLGANG CLASSIC WH EA</t>
    </r>
  </si>
  <si>
    <r>
      <t xml:space="preserve">TYPE L3: </t>
    </r>
    <r>
      <rPr>
        <sz val="11"/>
        <color rgb="FFFF0000"/>
        <rFont val="Aptos Narrow"/>
        <family val="2"/>
        <scheme val="minor"/>
      </rPr>
      <t>BLWP2</t>
    </r>
    <r>
      <rPr>
        <sz val="11"/>
        <color theme="1"/>
        <rFont val="Aptos Narrow"/>
        <family val="2"/>
        <scheme val="minor"/>
      </rPr>
      <t xml:space="preserve"> 20L ADP GZ10 </t>
    </r>
    <r>
      <rPr>
        <sz val="11"/>
        <color rgb="FFFF0000"/>
        <rFont val="Aptos Narrow"/>
        <family val="2"/>
        <scheme val="minor"/>
      </rPr>
      <t>LP840</t>
    </r>
  </si>
  <si>
    <r>
      <t xml:space="preserve">TPZ C4CG </t>
    </r>
    <r>
      <rPr>
        <sz val="11"/>
        <color rgb="FFFF0000"/>
        <rFont val="Aptos Narrow"/>
        <family val="2"/>
        <scheme val="minor"/>
      </rPr>
      <t>432480</t>
    </r>
    <r>
      <rPr>
        <sz val="11"/>
        <color theme="1"/>
        <rFont val="Aptos Narrow"/>
        <family val="2"/>
        <scheme val="minor"/>
      </rPr>
      <t xml:space="preserve"> 1 1/4 IN CONDUIT BODIES - THREADED RIGID C TYPE - ALUMINUM - WITH COVERS &amp; GASKETS</t>
    </r>
  </si>
  <si>
    <r>
      <t xml:space="preserve">AI 508A </t>
    </r>
    <r>
      <rPr>
        <sz val="11"/>
        <color rgb="FFFF0000"/>
        <rFont val="Aptos Narrow"/>
        <family val="2"/>
        <scheme val="minor"/>
      </rPr>
      <t>625009</t>
    </r>
    <r>
      <rPr>
        <sz val="11"/>
        <color theme="1"/>
        <rFont val="Aptos Narrow"/>
        <family val="2"/>
        <scheme val="minor"/>
      </rPr>
      <t xml:space="preserve"> 3" COND NIPPLE W/IN</t>
    </r>
  </si>
  <si>
    <r>
      <t xml:space="preserve">INT </t>
    </r>
    <r>
      <rPr>
        <sz val="11"/>
        <color rgb="FFFF0000"/>
        <rFont val="Aptos Narrow"/>
        <family val="2"/>
        <scheme val="minor"/>
      </rPr>
      <t>EK4436SM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1034960</t>
    </r>
    <r>
      <rPr>
        <sz val="11"/>
        <color theme="1"/>
        <rFont val="Aptos Narrow"/>
        <family val="2"/>
        <scheme val="minor"/>
      </rPr>
      <t xml:space="preserve"> PHOTOCONTROL ELECTMETAL</t>
    </r>
  </si>
  <si>
    <r>
      <t xml:space="preserve">ORBIT INDUSTRIES INC </t>
    </r>
    <r>
      <rPr>
        <sz val="11"/>
        <color rgb="FFFF0000"/>
        <rFont val="Aptos Narrow"/>
        <family val="2"/>
        <scheme val="minor"/>
      </rPr>
      <t>5AR1G-58 1-GANG</t>
    </r>
    <r>
      <rPr>
        <sz val="11"/>
        <color theme="1"/>
        <rFont val="Aptos Narrow"/>
        <family val="2"/>
        <scheme val="minor"/>
      </rPr>
      <t xml:space="preserve"> ADJUSTABLE RING FOR 5S BOXES
Restocking Fee 30 %</t>
    </r>
  </si>
  <si>
    <r>
      <t xml:space="preserve">ORBIT INDUSTRIES INC </t>
    </r>
    <r>
      <rPr>
        <sz val="11"/>
        <color rgb="FFFF0000"/>
        <rFont val="Aptos Narrow"/>
        <family val="2"/>
        <scheme val="minor"/>
      </rPr>
      <t>4AR1G-34 1-GANG</t>
    </r>
    <r>
      <rPr>
        <sz val="11"/>
        <color theme="1"/>
        <rFont val="Aptos Narrow"/>
        <family val="2"/>
        <scheme val="minor"/>
      </rPr>
      <t xml:space="preserve"> ADJUSTABLE RING FOR 4S BOXES
Restocking Fee 30 %</t>
    </r>
  </si>
  <si>
    <r>
      <t xml:space="preserve">ORBIT INDUSTRIES INC </t>
    </r>
    <r>
      <rPr>
        <sz val="11"/>
        <color rgb="FFFF0000"/>
        <rFont val="Aptos Narrow"/>
        <family val="2"/>
        <scheme val="minor"/>
      </rPr>
      <t>4AR2G-58 2-G</t>
    </r>
    <r>
      <rPr>
        <sz val="11"/>
        <color theme="1"/>
        <rFont val="Aptos Narrow"/>
        <family val="2"/>
        <scheme val="minor"/>
      </rPr>
      <t xml:space="preserve"> ADJUSTABLE RING FOR 4 SQ
Restocking Fee 30 %</t>
    </r>
  </si>
  <si>
    <r>
      <t>ORBIT INDUSTRIES INC</t>
    </r>
    <r>
      <rPr>
        <sz val="11"/>
        <color rgb="FFFF0000"/>
        <rFont val="Aptos Narrow"/>
        <family val="2"/>
        <scheme val="minor"/>
      </rPr>
      <t xml:space="preserve"> T5B-200</t>
    </r>
    <r>
      <rPr>
        <sz val="11"/>
        <color theme="1"/>
        <rFont val="Aptos Narrow"/>
        <family val="2"/>
        <scheme val="minor"/>
      </rPr>
      <t xml:space="preserve"> 5 SQ BOX
Restocking Fee 30 %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</si>
</sst>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6" fillId="0" borderId="0" xfId="0" applyFont="1" applyAlignment="1"/>
    <xf numFmtId="0" fontId="20" fillId="0" borderId="0" xfId="0" applyFont="1" applyAlignment="1"/>
    <xf numFmtId="2" fontId="20" fillId="0" borderId="0" xfId="0" applyNumberFormat="1" applyFont="1" applyAlignment="1"/>
    <xf numFmtId="0" fontId="0" fillId="0" borderId="0" xfId="0" applyAlignment="1"/>
    <xf numFmtId="0" fontId="21" fillId="0" borderId="0" xfId="0" applyFont="1" applyAlignment="1"/>
    <xf numFmtId="2" fontId="21" fillId="0" borderId="0" xfId="0" applyNumberFormat="1" applyFont="1" applyAlignment="1"/>
    <xf numFmtId="2" fontId="21" fillId="0" borderId="0" xfId="0" quotePrefix="1" applyNumberFormat="1" applyFont="1" applyAlignment="1"/>
    <xf numFmtId="0" fontId="0" fillId="0" borderId="0" xfId="0" quotePrefix="1" applyAlignment="1"/>
    <xf numFmtId="49" fontId="20" fillId="0" borderId="0" xfId="0" applyNumberFormat="1" applyFont="1" applyAlignment="1"/>
    <xf numFmtId="49" fontId="21" fillId="0" borderId="0" xfId="0" applyNumberFormat="1" applyFont="1" applyAlignment="1"/>
    <xf numFmtId="1" fontId="20" fillId="0" borderId="0" xfId="0" applyNumberFormat="1" applyFont="1" applyAlignment="1">
      <alignment horizontal="left"/>
    </xf>
    <xf numFmtId="1" fontId="21" fillId="0" borderId="0" xfId="0" applyNumberFormat="1" applyFont="1" applyAlignment="1">
      <alignment horizontal="left"/>
    </xf>
    <xf numFmtId="1" fontId="21" fillId="0" borderId="0" xfId="0" quotePrefix="1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8" fillId="0" borderId="0" xfId="0" applyFont="1" applyAlignment="1"/>
    <xf numFmtId="0" fontId="19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9084-C344-4EC3-97DD-C98923FE674D}">
  <sheetPr filterMode="1"/>
  <dimension ref="A1:V970"/>
  <sheetViews>
    <sheetView tabSelected="1" workbookViewId="0">
      <pane ySplit="1" topLeftCell="A11" activePane="bottomLeft" state="frozen"/>
      <selection pane="bottomLeft" activeCell="B23" sqref="B23"/>
    </sheetView>
  </sheetViews>
  <sheetFormatPr defaultRowHeight="14.4" x14ac:dyDescent="0.3"/>
  <cols>
    <col min="1" max="1" width="10.109375" style="5" customWidth="1"/>
    <col min="2" max="2" width="94.77734375" style="5" customWidth="1"/>
    <col min="3" max="3" width="13.6640625" style="5" customWidth="1"/>
    <col min="4" max="4" width="14.5546875" style="5" customWidth="1"/>
    <col min="5" max="5" width="11.44140625" style="5" customWidth="1"/>
    <col min="6" max="6" width="14.77734375" style="16" customWidth="1"/>
    <col min="7" max="7" width="18.5546875" style="19" bestFit="1" customWidth="1"/>
    <col min="8" max="8" width="18.21875" style="19" customWidth="1"/>
    <col min="9" max="9" width="8.88671875" style="6"/>
    <col min="10" max="10" width="14.6640625" style="11" customWidth="1"/>
    <col min="11" max="11" width="13.44140625" style="6" customWidth="1"/>
    <col min="12" max="12" width="15.109375" style="13" customWidth="1"/>
    <col min="13" max="13" width="11.5546875" style="6" customWidth="1"/>
    <col min="14" max="14" width="10.44140625" style="6" customWidth="1"/>
    <col min="15" max="15" width="10.109375" style="6" customWidth="1"/>
    <col min="16" max="16" width="19.44140625" style="6" customWidth="1"/>
    <col min="17" max="17" width="19.109375" style="6" customWidth="1"/>
    <col min="18" max="18" width="18.109375" style="6" customWidth="1"/>
    <col min="19" max="19" width="19.88671875" style="7" bestFit="1" customWidth="1"/>
    <col min="20" max="20" width="27.33203125" style="7" bestFit="1" customWidth="1"/>
    <col min="21" max="21" width="33.88671875" style="7" bestFit="1" customWidth="1"/>
    <col min="22" max="22" width="24" style="7" bestFit="1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8" t="s">
        <v>2328</v>
      </c>
      <c r="H1" s="18" t="s">
        <v>2329</v>
      </c>
      <c r="I1" s="3" t="s">
        <v>6</v>
      </c>
      <c r="J1" s="10" t="s">
        <v>7</v>
      </c>
      <c r="K1" s="3" t="s">
        <v>8</v>
      </c>
      <c r="L1" s="1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4" t="s">
        <v>16</v>
      </c>
      <c r="T1" s="4" t="s">
        <v>17</v>
      </c>
      <c r="U1" s="4" t="s">
        <v>18</v>
      </c>
      <c r="V1" s="4" t="s">
        <v>19</v>
      </c>
    </row>
    <row r="2" spans="1:22" x14ac:dyDescent="0.3">
      <c r="A2" s="5">
        <v>897000</v>
      </c>
      <c r="B2" s="5" t="s">
        <v>20</v>
      </c>
      <c r="C2" s="5" t="s">
        <v>21</v>
      </c>
      <c r="D2" s="5" t="s">
        <v>22</v>
      </c>
      <c r="G2" s="19" t="b">
        <f>(R2&lt;&gt;"")</f>
        <v>0</v>
      </c>
      <c r="H2" s="19" t="b">
        <f>AND(J2&lt;&gt;"", T2&gt;75)</f>
        <v>0</v>
      </c>
      <c r="J2" s="6"/>
    </row>
    <row r="3" spans="1:22" x14ac:dyDescent="0.3">
      <c r="A3" s="5">
        <v>897001</v>
      </c>
      <c r="B3" s="5" t="s">
        <v>23</v>
      </c>
      <c r="C3" s="5" t="s">
        <v>21</v>
      </c>
      <c r="D3" s="5" t="s">
        <v>24</v>
      </c>
      <c r="G3" s="19" t="b">
        <f t="shared" ref="G3:G66" si="0">(R3&lt;&gt;"")</f>
        <v>0</v>
      </c>
      <c r="H3" s="19" t="b">
        <f>AND(J3&lt;&gt;"", T3&gt;75)</f>
        <v>0</v>
      </c>
      <c r="J3" s="6"/>
    </row>
    <row r="4" spans="1:22" x14ac:dyDescent="0.3">
      <c r="A4" s="5">
        <v>897002</v>
      </c>
      <c r="B4" s="5" t="s">
        <v>25</v>
      </c>
      <c r="C4" s="5" t="s">
        <v>21</v>
      </c>
      <c r="D4" s="5" t="s">
        <v>26</v>
      </c>
      <c r="G4" s="19" t="b">
        <f t="shared" si="0"/>
        <v>0</v>
      </c>
      <c r="H4" s="19" t="b">
        <f>AND(J4&lt;&gt;"", T4&gt;75)</f>
        <v>0</v>
      </c>
      <c r="J4" s="6"/>
    </row>
    <row r="5" spans="1:22" x14ac:dyDescent="0.3">
      <c r="A5" s="5">
        <v>897003</v>
      </c>
      <c r="B5" s="5" t="s">
        <v>27</v>
      </c>
      <c r="C5" s="5" t="s">
        <v>21</v>
      </c>
      <c r="D5" s="5" t="s">
        <v>28</v>
      </c>
      <c r="G5" s="19" t="b">
        <f t="shared" si="0"/>
        <v>0</v>
      </c>
      <c r="H5" s="19" t="b">
        <f>AND(J5&lt;&gt;"", T5&gt;75)</f>
        <v>0</v>
      </c>
      <c r="J5" s="6"/>
    </row>
    <row r="6" spans="1:22" x14ac:dyDescent="0.3">
      <c r="A6" s="5">
        <v>897004</v>
      </c>
      <c r="B6" s="5" t="s">
        <v>29</v>
      </c>
      <c r="C6" s="5" t="s">
        <v>21</v>
      </c>
      <c r="D6" s="5" t="s">
        <v>30</v>
      </c>
      <c r="G6" s="19" t="b">
        <f t="shared" si="0"/>
        <v>0</v>
      </c>
      <c r="H6" s="19" t="b">
        <f>AND(J6&lt;&gt;"", T6&gt;75)</f>
        <v>0</v>
      </c>
      <c r="J6" s="6"/>
    </row>
    <row r="7" spans="1:22" x14ac:dyDescent="0.3">
      <c r="A7" s="5">
        <v>897005</v>
      </c>
      <c r="B7" s="5" t="s">
        <v>31</v>
      </c>
      <c r="C7" s="5" t="s">
        <v>21</v>
      </c>
      <c r="D7" s="5" t="s">
        <v>32</v>
      </c>
      <c r="G7" s="19" t="b">
        <f t="shared" si="0"/>
        <v>1</v>
      </c>
      <c r="H7" s="19" t="b">
        <f>AND(J7&lt;&gt;"", T7&gt;75)</f>
        <v>0</v>
      </c>
      <c r="J7" s="6"/>
      <c r="Q7" s="6" t="s">
        <v>33</v>
      </c>
      <c r="R7" s="6" t="s">
        <v>34</v>
      </c>
      <c r="U7" s="7">
        <v>60</v>
      </c>
    </row>
    <row r="8" spans="1:22" x14ac:dyDescent="0.3">
      <c r="A8" s="5">
        <v>897006</v>
      </c>
      <c r="B8" s="5" t="s">
        <v>35</v>
      </c>
      <c r="C8" s="5" t="s">
        <v>36</v>
      </c>
      <c r="D8" s="5" t="s">
        <v>37</v>
      </c>
      <c r="E8" s="5" t="s">
        <v>38</v>
      </c>
      <c r="G8" s="19" t="b">
        <f t="shared" si="0"/>
        <v>1</v>
      </c>
      <c r="H8" s="19" t="b">
        <f>AND(J8&lt;&gt;"", T8&gt;75)</f>
        <v>0</v>
      </c>
      <c r="J8" s="6"/>
      <c r="Q8" s="6" t="s">
        <v>39</v>
      </c>
      <c r="R8" s="6" t="s">
        <v>40</v>
      </c>
      <c r="U8" s="7">
        <v>95</v>
      </c>
    </row>
    <row r="9" spans="1:22" x14ac:dyDescent="0.3">
      <c r="A9" s="5">
        <v>897007</v>
      </c>
      <c r="B9" s="5" t="s">
        <v>41</v>
      </c>
      <c r="C9" s="5" t="s">
        <v>42</v>
      </c>
      <c r="D9" s="5" t="s">
        <v>43</v>
      </c>
      <c r="E9" s="5" t="s">
        <v>44</v>
      </c>
      <c r="G9" s="19" t="b">
        <f t="shared" si="0"/>
        <v>1</v>
      </c>
      <c r="H9" s="19" t="b">
        <f>AND(J9&lt;&gt;"", T9&gt;75)</f>
        <v>0</v>
      </c>
      <c r="J9" s="6"/>
      <c r="Q9" s="6" t="s">
        <v>39</v>
      </c>
      <c r="R9" s="6" t="s">
        <v>40</v>
      </c>
      <c r="U9" s="7">
        <v>50</v>
      </c>
    </row>
    <row r="10" spans="1:22" x14ac:dyDescent="0.3">
      <c r="A10" s="5">
        <v>897008</v>
      </c>
      <c r="B10" s="5" t="s">
        <v>45</v>
      </c>
      <c r="C10" s="5" t="s">
        <v>42</v>
      </c>
      <c r="D10" s="5" t="s">
        <v>46</v>
      </c>
      <c r="E10" s="5" t="s">
        <v>47</v>
      </c>
      <c r="G10" s="19" t="b">
        <f t="shared" si="0"/>
        <v>1</v>
      </c>
      <c r="H10" s="19" t="b">
        <f>AND(J10&lt;&gt;"", T10&gt;75)</f>
        <v>0</v>
      </c>
      <c r="J10" s="6"/>
      <c r="Q10" s="6" t="s">
        <v>42</v>
      </c>
      <c r="R10" s="6" t="s">
        <v>42</v>
      </c>
      <c r="U10" s="7">
        <v>90</v>
      </c>
    </row>
    <row r="11" spans="1:22" x14ac:dyDescent="0.3">
      <c r="A11" s="5">
        <v>897009</v>
      </c>
      <c r="B11" s="5" t="s">
        <v>48</v>
      </c>
      <c r="C11" s="5" t="s">
        <v>36</v>
      </c>
      <c r="D11" s="5" t="s">
        <v>49</v>
      </c>
      <c r="E11" s="5" t="s">
        <v>50</v>
      </c>
      <c r="G11" s="19" t="b">
        <f t="shared" si="0"/>
        <v>1</v>
      </c>
      <c r="H11" s="19" t="b">
        <f>AND(J11&lt;&gt;"", T11&gt;75)</f>
        <v>0</v>
      </c>
      <c r="J11" s="6"/>
      <c r="Q11" s="6" t="s">
        <v>39</v>
      </c>
      <c r="R11" s="6" t="s">
        <v>40</v>
      </c>
      <c r="U11" s="7">
        <v>95</v>
      </c>
    </row>
    <row r="12" spans="1:22" hidden="1" x14ac:dyDescent="0.3">
      <c r="A12" s="5">
        <v>897010</v>
      </c>
      <c r="B12" s="5" t="s">
        <v>51</v>
      </c>
      <c r="C12" s="5" t="s">
        <v>52</v>
      </c>
      <c r="D12" s="5" t="s">
        <v>53</v>
      </c>
      <c r="E12" s="5" t="s">
        <v>54</v>
      </c>
      <c r="G12" s="19" t="b">
        <f t="shared" si="0"/>
        <v>1</v>
      </c>
      <c r="H12" s="19" t="b">
        <f>AND(J12&lt;&gt;"", T12&gt;75)</f>
        <v>1</v>
      </c>
      <c r="I12" s="6">
        <v>220815</v>
      </c>
      <c r="J12" s="11" t="s">
        <v>53</v>
      </c>
      <c r="K12" s="6" t="s">
        <v>55</v>
      </c>
      <c r="L12" s="13" t="s">
        <v>2330</v>
      </c>
      <c r="M12" s="6">
        <v>39131707</v>
      </c>
      <c r="O12" s="6">
        <v>117455</v>
      </c>
      <c r="P12" s="6" t="s">
        <v>56</v>
      </c>
      <c r="Q12" s="6" t="s">
        <v>55</v>
      </c>
      <c r="R12" s="6" t="s">
        <v>52</v>
      </c>
      <c r="S12" s="8">
        <v>0.85251538630864399</v>
      </c>
      <c r="T12" s="7">
        <v>100</v>
      </c>
      <c r="U12" s="7">
        <v>100</v>
      </c>
      <c r="V12" s="7">
        <v>100</v>
      </c>
    </row>
    <row r="13" spans="1:22" x14ac:dyDescent="0.3">
      <c r="A13" s="5">
        <v>897011</v>
      </c>
      <c r="B13" s="5" t="s">
        <v>41</v>
      </c>
      <c r="C13" s="5" t="s">
        <v>42</v>
      </c>
      <c r="D13" s="5" t="s">
        <v>43</v>
      </c>
      <c r="E13" s="5" t="s">
        <v>44</v>
      </c>
      <c r="G13" s="19" t="b">
        <f t="shared" si="0"/>
        <v>1</v>
      </c>
      <c r="H13" s="19" t="b">
        <f>AND(J13&lt;&gt;"", T13&gt;75)</f>
        <v>0</v>
      </c>
      <c r="J13" s="6"/>
      <c r="Q13" s="6" t="s">
        <v>39</v>
      </c>
      <c r="R13" s="6" t="s">
        <v>40</v>
      </c>
      <c r="U13" s="7">
        <v>50</v>
      </c>
    </row>
    <row r="14" spans="1:22" x14ac:dyDescent="0.3">
      <c r="A14" s="5">
        <v>897013</v>
      </c>
      <c r="B14" s="5" t="s">
        <v>2331</v>
      </c>
      <c r="C14" s="5" t="s">
        <v>57</v>
      </c>
      <c r="D14" s="5" t="s">
        <v>58</v>
      </c>
      <c r="E14" s="5" t="s">
        <v>59</v>
      </c>
      <c r="G14" s="19" t="b">
        <f t="shared" si="0"/>
        <v>1</v>
      </c>
      <c r="H14" s="19" t="b">
        <f>AND(J14&lt;&gt;"", T14&gt;75)</f>
        <v>0</v>
      </c>
      <c r="J14" s="6"/>
      <c r="Q14" s="6" t="s">
        <v>60</v>
      </c>
      <c r="R14" s="6" t="s">
        <v>57</v>
      </c>
      <c r="U14" s="7">
        <v>60</v>
      </c>
    </row>
    <row r="15" spans="1:22" hidden="1" x14ac:dyDescent="0.3">
      <c r="A15" s="5">
        <v>897014</v>
      </c>
      <c r="B15" s="5" t="s">
        <v>61</v>
      </c>
      <c r="C15" s="5" t="s">
        <v>34</v>
      </c>
      <c r="D15" s="5" t="s">
        <v>62</v>
      </c>
      <c r="E15" s="5" t="s">
        <v>63</v>
      </c>
      <c r="G15" s="19" t="b">
        <f t="shared" si="0"/>
        <v>0</v>
      </c>
      <c r="H15" s="19" t="b">
        <f>AND(J15&lt;&gt;"", T15&gt;75)</f>
        <v>1</v>
      </c>
      <c r="I15" s="6">
        <v>338889</v>
      </c>
      <c r="J15" s="11" t="s">
        <v>64</v>
      </c>
      <c r="K15" s="6" t="s">
        <v>65</v>
      </c>
      <c r="L15" s="13">
        <v>783310013617</v>
      </c>
      <c r="M15" s="6">
        <v>27111510</v>
      </c>
      <c r="N15" s="6" t="s">
        <v>63</v>
      </c>
      <c r="O15" s="6">
        <v>259146</v>
      </c>
      <c r="P15" s="6" t="s">
        <v>66</v>
      </c>
      <c r="Q15" s="6" t="s">
        <v>65</v>
      </c>
      <c r="S15" s="8">
        <v>0.931123280854802</v>
      </c>
      <c r="T15" s="8">
        <v>79.056164042740093</v>
      </c>
      <c r="U15" s="8">
        <v>51.0561640427401</v>
      </c>
      <c r="V15" s="8">
        <v>98.224656170960401</v>
      </c>
    </row>
    <row r="16" spans="1:22" x14ac:dyDescent="0.3">
      <c r="A16" s="5">
        <v>897016</v>
      </c>
      <c r="B16" s="5" t="s">
        <v>2332</v>
      </c>
      <c r="C16" s="5" t="s">
        <v>67</v>
      </c>
      <c r="D16" s="5" t="s">
        <v>68</v>
      </c>
      <c r="E16" s="5" t="s">
        <v>69</v>
      </c>
      <c r="G16" s="19" t="b">
        <f t="shared" si="0"/>
        <v>0</v>
      </c>
      <c r="H16" s="19" t="b">
        <f>AND(J16&lt;&gt;"", T16&gt;75)</f>
        <v>0</v>
      </c>
      <c r="J16" s="6"/>
    </row>
    <row r="17" spans="1:22" hidden="1" x14ac:dyDescent="0.3">
      <c r="A17" s="5">
        <v>897017</v>
      </c>
      <c r="B17" s="5" t="s">
        <v>70</v>
      </c>
      <c r="C17" s="5" t="s">
        <v>71</v>
      </c>
      <c r="D17" s="5" t="s">
        <v>72</v>
      </c>
      <c r="G17" s="19" t="b">
        <f t="shared" si="0"/>
        <v>0</v>
      </c>
      <c r="H17" s="19" t="b">
        <f>AND(J17&lt;&gt;"", T17&gt;75)</f>
        <v>1</v>
      </c>
      <c r="I17" s="6">
        <v>320038</v>
      </c>
      <c r="J17" s="11" t="s">
        <v>73</v>
      </c>
      <c r="K17" s="6" t="s">
        <v>74</v>
      </c>
      <c r="L17" s="13">
        <v>782979380740</v>
      </c>
      <c r="M17" s="6">
        <v>39111706</v>
      </c>
      <c r="O17" s="6">
        <v>12046</v>
      </c>
      <c r="P17" s="6" t="s">
        <v>75</v>
      </c>
      <c r="Q17" s="6" t="s">
        <v>74</v>
      </c>
      <c r="S17" s="8">
        <v>0.88604196895176901</v>
      </c>
      <c r="T17" s="7">
        <v>100</v>
      </c>
      <c r="U17" s="7">
        <v>100</v>
      </c>
      <c r="V17" s="7">
        <v>100</v>
      </c>
    </row>
    <row r="18" spans="1:22" x14ac:dyDescent="0.3">
      <c r="A18" s="5">
        <v>897018</v>
      </c>
      <c r="B18" s="5" t="s">
        <v>76</v>
      </c>
      <c r="C18" s="5" t="s">
        <v>77</v>
      </c>
      <c r="D18" s="5" t="s">
        <v>78</v>
      </c>
      <c r="G18" s="19" t="b">
        <f t="shared" si="0"/>
        <v>0</v>
      </c>
      <c r="H18" s="19" t="b">
        <f>AND(J18&lt;&gt;"", T18&gt;75)</f>
        <v>0</v>
      </c>
      <c r="J18" s="6"/>
    </row>
    <row r="19" spans="1:22" x14ac:dyDescent="0.3">
      <c r="A19" s="5">
        <v>897019</v>
      </c>
      <c r="B19" s="5" t="s">
        <v>79</v>
      </c>
      <c r="G19" s="19" t="b">
        <f t="shared" si="0"/>
        <v>0</v>
      </c>
      <c r="H19" s="19" t="b">
        <f>AND(J19&lt;&gt;"", T19&gt;75)</f>
        <v>0</v>
      </c>
      <c r="J19" s="6"/>
    </row>
    <row r="20" spans="1:22" hidden="1" x14ac:dyDescent="0.3">
      <c r="A20" s="5">
        <v>897020</v>
      </c>
      <c r="B20" s="5" t="s">
        <v>80</v>
      </c>
      <c r="G20" s="19" t="b">
        <f t="shared" si="0"/>
        <v>0</v>
      </c>
      <c r="H20" s="19" t="b">
        <f>AND(J20&lt;&gt;"", T20&gt;75)</f>
        <v>0</v>
      </c>
      <c r="I20" s="6">
        <v>323889</v>
      </c>
      <c r="J20" s="6">
        <v>1101000</v>
      </c>
      <c r="K20" s="6" t="s">
        <v>81</v>
      </c>
      <c r="L20" s="13">
        <v>784610045148</v>
      </c>
      <c r="M20" s="6">
        <v>31162310</v>
      </c>
      <c r="O20" s="6">
        <v>161199</v>
      </c>
      <c r="P20" s="6" t="s">
        <v>82</v>
      </c>
      <c r="Q20" s="6" t="s">
        <v>81</v>
      </c>
      <c r="S20" s="8">
        <v>0.34200931176737998</v>
      </c>
      <c r="T20" s="8">
        <v>54.600465588368998</v>
      </c>
      <c r="U20" s="8">
        <v>58.600465588368998</v>
      </c>
      <c r="V20" s="7">
        <v>0</v>
      </c>
    </row>
    <row r="21" spans="1:22" x14ac:dyDescent="0.3">
      <c r="A21" s="5">
        <v>897021</v>
      </c>
      <c r="B21" s="5" t="s">
        <v>83</v>
      </c>
      <c r="G21" s="19" t="b">
        <f t="shared" si="0"/>
        <v>0</v>
      </c>
      <c r="H21" s="19" t="b">
        <f>AND(J21&lt;&gt;"", T21&gt;75)</f>
        <v>0</v>
      </c>
      <c r="J21" s="6"/>
    </row>
    <row r="22" spans="1:22" x14ac:dyDescent="0.3">
      <c r="A22" s="5">
        <v>897022</v>
      </c>
      <c r="B22" s="5" t="s">
        <v>2333</v>
      </c>
      <c r="G22" s="19" t="b">
        <f t="shared" si="0"/>
        <v>1</v>
      </c>
      <c r="H22" s="19" t="b">
        <f>AND(J22&lt;&gt;"", T22&gt;75)</f>
        <v>0</v>
      </c>
      <c r="J22" s="6"/>
      <c r="Q22" s="6" t="s">
        <v>84</v>
      </c>
      <c r="R22" s="6" t="s">
        <v>84</v>
      </c>
      <c r="U22" s="7">
        <v>80</v>
      </c>
    </row>
    <row r="23" spans="1:22" x14ac:dyDescent="0.3">
      <c r="A23" s="5">
        <v>897023</v>
      </c>
      <c r="B23" s="5" t="s">
        <v>2334</v>
      </c>
      <c r="G23" s="19" t="b">
        <f t="shared" si="0"/>
        <v>1</v>
      </c>
      <c r="H23" s="19" t="b">
        <f>AND(J23&lt;&gt;"", T23&gt;75)</f>
        <v>0</v>
      </c>
      <c r="J23" s="6"/>
      <c r="Q23" s="6" t="s">
        <v>84</v>
      </c>
      <c r="R23" s="6" t="s">
        <v>84</v>
      </c>
      <c r="U23" s="7">
        <v>80</v>
      </c>
    </row>
    <row r="24" spans="1:22" hidden="1" x14ac:dyDescent="0.3">
      <c r="A24" s="5">
        <v>897024</v>
      </c>
      <c r="B24" s="5" t="s">
        <v>85</v>
      </c>
      <c r="G24" s="19" t="b">
        <f t="shared" si="0"/>
        <v>0</v>
      </c>
      <c r="H24" s="19" t="b">
        <f>AND(J24&lt;&gt;"", T24&gt;75)</f>
        <v>0</v>
      </c>
      <c r="I24" s="6">
        <v>340866</v>
      </c>
      <c r="J24" s="6">
        <v>4200</v>
      </c>
      <c r="K24" s="6" t="s">
        <v>86</v>
      </c>
      <c r="L24" s="13">
        <v>783126612707</v>
      </c>
      <c r="M24" s="6">
        <v>39131707</v>
      </c>
      <c r="N24" s="6" t="s">
        <v>87</v>
      </c>
      <c r="O24" s="6">
        <v>264912</v>
      </c>
      <c r="P24" s="6" t="s">
        <v>88</v>
      </c>
      <c r="Q24" s="6" t="s">
        <v>86</v>
      </c>
      <c r="S24" s="8">
        <v>0.36631487641070298</v>
      </c>
      <c r="T24" s="8">
        <v>30.815743820535101</v>
      </c>
      <c r="U24" s="8">
        <v>10.815743820535101</v>
      </c>
      <c r="V24" s="7">
        <v>0</v>
      </c>
    </row>
    <row r="25" spans="1:22" x14ac:dyDescent="0.3">
      <c r="A25" s="5">
        <v>897025</v>
      </c>
      <c r="B25" s="5" t="s">
        <v>2335</v>
      </c>
      <c r="E25" s="5" t="s">
        <v>89</v>
      </c>
      <c r="G25" s="19" t="b">
        <f t="shared" si="0"/>
        <v>0</v>
      </c>
      <c r="H25" s="19" t="b">
        <f>AND(J25&lt;&gt;"", T25&gt;75)</f>
        <v>0</v>
      </c>
      <c r="J25" s="6"/>
    </row>
    <row r="26" spans="1:22" x14ac:dyDescent="0.3">
      <c r="A26" s="5">
        <v>897026</v>
      </c>
      <c r="B26" s="5" t="s">
        <v>90</v>
      </c>
      <c r="E26" s="5" t="s">
        <v>38</v>
      </c>
      <c r="G26" s="19" t="b">
        <f t="shared" si="0"/>
        <v>0</v>
      </c>
      <c r="H26" s="19" t="b">
        <f>AND(J26&lt;&gt;"", T26&gt;75)</f>
        <v>0</v>
      </c>
      <c r="J26" s="6"/>
    </row>
    <row r="27" spans="1:22" x14ac:dyDescent="0.3">
      <c r="A27" s="5">
        <v>897027</v>
      </c>
      <c r="B27" s="5" t="s">
        <v>2336</v>
      </c>
      <c r="G27" s="19" t="b">
        <f t="shared" si="0"/>
        <v>0</v>
      </c>
      <c r="H27" s="19" t="b">
        <f>AND(J27&lt;&gt;"", T27&gt;75)</f>
        <v>0</v>
      </c>
      <c r="J27" s="6"/>
    </row>
    <row r="28" spans="1:22" x14ac:dyDescent="0.3">
      <c r="A28" s="5">
        <v>897028</v>
      </c>
      <c r="B28" s="5" t="s">
        <v>2337</v>
      </c>
      <c r="G28" s="19" t="b">
        <f t="shared" si="0"/>
        <v>0</v>
      </c>
      <c r="H28" s="19" t="b">
        <f>AND(J28&lt;&gt;"", T28&gt;75)</f>
        <v>0</v>
      </c>
      <c r="J28" s="6"/>
    </row>
    <row r="29" spans="1:22" x14ac:dyDescent="0.3">
      <c r="A29" s="5">
        <v>897029</v>
      </c>
      <c r="B29" s="5" t="s">
        <v>2338</v>
      </c>
      <c r="G29" s="19" t="b">
        <f t="shared" si="0"/>
        <v>0</v>
      </c>
      <c r="H29" s="19" t="b">
        <f>AND(J29&lt;&gt;"", T29&gt;75)</f>
        <v>0</v>
      </c>
      <c r="J29" s="6"/>
    </row>
    <row r="30" spans="1:22" x14ac:dyDescent="0.3">
      <c r="A30" s="5">
        <v>897030</v>
      </c>
      <c r="B30" s="5" t="s">
        <v>2339</v>
      </c>
      <c r="G30" s="19" t="b">
        <f t="shared" si="0"/>
        <v>0</v>
      </c>
      <c r="H30" s="19" t="b">
        <f>AND(J30&lt;&gt;"", T30&gt;75)</f>
        <v>0</v>
      </c>
      <c r="J30" s="6"/>
    </row>
    <row r="31" spans="1:22" x14ac:dyDescent="0.3">
      <c r="A31" s="5">
        <v>897032</v>
      </c>
      <c r="B31" s="5" t="s">
        <v>91</v>
      </c>
      <c r="E31" s="5" t="s">
        <v>92</v>
      </c>
      <c r="G31" s="19" t="b">
        <f t="shared" si="0"/>
        <v>0</v>
      </c>
      <c r="H31" s="19" t="b">
        <f>AND(J31&lt;&gt;"", T31&gt;75)</f>
        <v>0</v>
      </c>
      <c r="J31" s="6"/>
    </row>
    <row r="32" spans="1:22" x14ac:dyDescent="0.3">
      <c r="A32" s="5">
        <v>897033</v>
      </c>
      <c r="B32" s="5" t="s">
        <v>2340</v>
      </c>
      <c r="E32" s="5" t="s">
        <v>93</v>
      </c>
      <c r="G32" s="19" t="b">
        <f t="shared" si="0"/>
        <v>0</v>
      </c>
      <c r="H32" s="19" t="b">
        <f>AND(J32&lt;&gt;"", T32&gt;75)</f>
        <v>0</v>
      </c>
      <c r="J32" s="6"/>
    </row>
    <row r="33" spans="1:22" x14ac:dyDescent="0.3">
      <c r="A33" s="5">
        <v>897034</v>
      </c>
      <c r="B33" s="5" t="s">
        <v>94</v>
      </c>
      <c r="E33" s="5" t="s">
        <v>95</v>
      </c>
      <c r="G33" s="19" t="b">
        <f t="shared" si="0"/>
        <v>0</v>
      </c>
      <c r="H33" s="19" t="b">
        <f>AND(J33&lt;&gt;"", T33&gt;75)</f>
        <v>0</v>
      </c>
      <c r="J33" s="6"/>
    </row>
    <row r="34" spans="1:22" x14ac:dyDescent="0.3">
      <c r="A34" s="5">
        <v>897035</v>
      </c>
      <c r="B34" s="5" t="s">
        <v>2341</v>
      </c>
      <c r="G34" s="19" t="b">
        <f t="shared" si="0"/>
        <v>0</v>
      </c>
      <c r="H34" s="19" t="b">
        <f>AND(J34&lt;&gt;"", T34&gt;75)</f>
        <v>0</v>
      </c>
      <c r="J34" s="6"/>
    </row>
    <row r="35" spans="1:22" x14ac:dyDescent="0.3">
      <c r="A35" s="5">
        <v>897036</v>
      </c>
      <c r="B35" s="5" t="s">
        <v>2342</v>
      </c>
      <c r="G35" s="19" t="b">
        <f t="shared" si="0"/>
        <v>0</v>
      </c>
      <c r="H35" s="19" t="b">
        <f>AND(J35&lt;&gt;"", T35&gt;75)</f>
        <v>0</v>
      </c>
      <c r="J35" s="6"/>
    </row>
    <row r="36" spans="1:22" x14ac:dyDescent="0.3">
      <c r="A36" s="5">
        <v>897037</v>
      </c>
      <c r="B36" s="5" t="s">
        <v>2343</v>
      </c>
      <c r="G36" s="19" t="b">
        <f t="shared" si="0"/>
        <v>0</v>
      </c>
      <c r="H36" s="19" t="b">
        <f>AND(J36&lt;&gt;"", T36&gt;75)</f>
        <v>0</v>
      </c>
      <c r="J36" s="6"/>
    </row>
    <row r="37" spans="1:22" x14ac:dyDescent="0.3">
      <c r="A37" s="5">
        <v>897038</v>
      </c>
      <c r="B37" s="5" t="s">
        <v>2344</v>
      </c>
      <c r="G37" s="19" t="b">
        <f t="shared" si="0"/>
        <v>1</v>
      </c>
      <c r="H37" s="19" t="b">
        <f>AND(J37&lt;&gt;"", T37&gt;75)</f>
        <v>0</v>
      </c>
      <c r="J37" s="6"/>
      <c r="Q37" s="6" t="s">
        <v>84</v>
      </c>
      <c r="R37" s="6" t="s">
        <v>84</v>
      </c>
      <c r="U37" s="7">
        <v>80</v>
      </c>
    </row>
    <row r="38" spans="1:22" x14ac:dyDescent="0.3">
      <c r="A38" s="5">
        <v>897040</v>
      </c>
      <c r="B38" s="5" t="s">
        <v>2345</v>
      </c>
      <c r="D38" s="5" t="s">
        <v>96</v>
      </c>
      <c r="G38" s="19" t="b">
        <f t="shared" si="0"/>
        <v>0</v>
      </c>
      <c r="H38" s="19" t="b">
        <f>AND(J38&lt;&gt;"", T38&gt;75)</f>
        <v>0</v>
      </c>
      <c r="J38" s="6"/>
    </row>
    <row r="39" spans="1:22" x14ac:dyDescent="0.3">
      <c r="A39" s="5">
        <v>897041</v>
      </c>
      <c r="B39" s="5" t="s">
        <v>2346</v>
      </c>
      <c r="C39" s="5" t="s">
        <v>97</v>
      </c>
      <c r="D39" s="9" t="s">
        <v>98</v>
      </c>
      <c r="E39" s="5" t="s">
        <v>99</v>
      </c>
      <c r="F39" s="16">
        <v>98002002030</v>
      </c>
      <c r="G39" s="19" t="b">
        <f t="shared" si="0"/>
        <v>1</v>
      </c>
      <c r="H39" s="19" t="b">
        <f>AND(J39&lt;&gt;"", T39&gt;75)</f>
        <v>0</v>
      </c>
      <c r="J39" s="6"/>
      <c r="Q39" s="6" t="s">
        <v>39</v>
      </c>
      <c r="R39" s="6" t="s">
        <v>36</v>
      </c>
      <c r="U39" s="7">
        <v>60</v>
      </c>
    </row>
    <row r="40" spans="1:22" x14ac:dyDescent="0.3">
      <c r="A40" s="5">
        <v>897042</v>
      </c>
      <c r="B40" s="5" t="s">
        <v>2347</v>
      </c>
      <c r="C40" s="5" t="s">
        <v>100</v>
      </c>
      <c r="D40" s="5" t="s">
        <v>101</v>
      </c>
      <c r="F40" s="16">
        <v>68536004703</v>
      </c>
      <c r="G40" s="19" t="b">
        <f t="shared" si="0"/>
        <v>0</v>
      </c>
      <c r="H40" s="19" t="b">
        <f>AND(J40&lt;&gt;"", T40&gt;75)</f>
        <v>0</v>
      </c>
      <c r="J40" s="6"/>
    </row>
    <row r="41" spans="1:22" hidden="1" x14ac:dyDescent="0.3">
      <c r="A41" s="5">
        <v>897043</v>
      </c>
      <c r="B41" s="5" t="s">
        <v>102</v>
      </c>
      <c r="C41" s="5" t="s">
        <v>103</v>
      </c>
      <c r="D41" s="5" t="s">
        <v>104</v>
      </c>
      <c r="F41" s="16">
        <v>78316401219</v>
      </c>
      <c r="G41" s="19" t="b">
        <f t="shared" si="0"/>
        <v>1</v>
      </c>
      <c r="H41" s="19" t="b">
        <f>AND(J41&lt;&gt;"", T41&gt;75)</f>
        <v>1</v>
      </c>
      <c r="I41" s="6">
        <v>336087</v>
      </c>
      <c r="J41" s="11" t="s">
        <v>104</v>
      </c>
      <c r="K41" s="6" t="s">
        <v>105</v>
      </c>
      <c r="L41" s="13">
        <v>783164012194</v>
      </c>
      <c r="M41" s="6">
        <v>39121601</v>
      </c>
      <c r="N41" s="6" t="s">
        <v>106</v>
      </c>
      <c r="O41" s="6">
        <v>258800</v>
      </c>
      <c r="P41" s="6" t="s">
        <v>107</v>
      </c>
      <c r="Q41" s="6" t="s">
        <v>105</v>
      </c>
      <c r="R41" s="6" t="s">
        <v>103</v>
      </c>
      <c r="S41" s="8">
        <v>0.97577338452824203</v>
      </c>
      <c r="T41" s="7">
        <v>100</v>
      </c>
      <c r="U41" s="7">
        <v>100</v>
      </c>
      <c r="V41" s="7">
        <v>100</v>
      </c>
    </row>
    <row r="42" spans="1:22" hidden="1" x14ac:dyDescent="0.3">
      <c r="A42" s="5">
        <v>897044</v>
      </c>
      <c r="B42" s="5" t="s">
        <v>108</v>
      </c>
      <c r="C42" s="5" t="s">
        <v>42</v>
      </c>
      <c r="D42" s="5" t="s">
        <v>109</v>
      </c>
      <c r="E42" s="5" t="s">
        <v>110</v>
      </c>
      <c r="F42" s="16">
        <v>78101151593</v>
      </c>
      <c r="G42" s="19" t="b">
        <f t="shared" si="0"/>
        <v>1</v>
      </c>
      <c r="H42" s="19" t="b">
        <f>AND(J42&lt;&gt;"", T42&gt;75)</f>
        <v>1</v>
      </c>
      <c r="I42" s="6">
        <v>335848</v>
      </c>
      <c r="J42" s="11" t="s">
        <v>111</v>
      </c>
      <c r="K42" s="6" t="s">
        <v>112</v>
      </c>
      <c r="L42" s="13">
        <v>781011515935</v>
      </c>
      <c r="M42" s="6">
        <v>30101800</v>
      </c>
      <c r="N42" s="6" t="s">
        <v>110</v>
      </c>
      <c r="O42" s="6">
        <v>268187</v>
      </c>
      <c r="P42" s="6" t="s">
        <v>113</v>
      </c>
      <c r="Q42" s="6" t="s">
        <v>42</v>
      </c>
      <c r="R42" s="6" t="s">
        <v>42</v>
      </c>
      <c r="S42" s="8">
        <v>0.92891371477001805</v>
      </c>
      <c r="T42" s="7">
        <v>100</v>
      </c>
      <c r="U42" s="7">
        <v>100</v>
      </c>
      <c r="V42" s="7">
        <v>100</v>
      </c>
    </row>
    <row r="43" spans="1:22" x14ac:dyDescent="0.3">
      <c r="A43" s="5">
        <v>897045</v>
      </c>
      <c r="B43" s="5" t="s">
        <v>2348</v>
      </c>
      <c r="G43" s="19" t="b">
        <f t="shared" si="0"/>
        <v>0</v>
      </c>
      <c r="H43" s="19" t="b">
        <f>AND(J43&lt;&gt;"", T43&gt;75)</f>
        <v>0</v>
      </c>
      <c r="J43" s="6"/>
    </row>
    <row r="44" spans="1:22" x14ac:dyDescent="0.3">
      <c r="A44" s="5">
        <v>897047</v>
      </c>
      <c r="B44" s="5" t="s">
        <v>2349</v>
      </c>
      <c r="G44" s="19" t="b">
        <f t="shared" si="0"/>
        <v>1</v>
      </c>
      <c r="H44" s="19" t="b">
        <f>AND(J44&lt;&gt;"", T44&gt;75)</f>
        <v>0</v>
      </c>
      <c r="J44" s="6"/>
      <c r="Q44" s="6" t="s">
        <v>114</v>
      </c>
      <c r="R44" s="6" t="s">
        <v>114</v>
      </c>
      <c r="U44" s="7">
        <v>50</v>
      </c>
    </row>
    <row r="45" spans="1:22" x14ac:dyDescent="0.3">
      <c r="A45" s="5">
        <v>897048</v>
      </c>
      <c r="B45" s="5" t="s">
        <v>2350</v>
      </c>
      <c r="G45" s="19" t="b">
        <f t="shared" si="0"/>
        <v>1</v>
      </c>
      <c r="H45" s="19" t="b">
        <f>AND(J45&lt;&gt;"", T45&gt;75)</f>
        <v>0</v>
      </c>
      <c r="J45" s="6"/>
      <c r="Q45" s="6" t="s">
        <v>84</v>
      </c>
      <c r="R45" s="6" t="s">
        <v>84</v>
      </c>
      <c r="U45" s="7">
        <v>80</v>
      </c>
    </row>
    <row r="46" spans="1:22" x14ac:dyDescent="0.3">
      <c r="A46" s="5">
        <v>897049</v>
      </c>
      <c r="B46" s="5" t="s">
        <v>2351</v>
      </c>
      <c r="G46" s="19" t="b">
        <f t="shared" si="0"/>
        <v>1</v>
      </c>
      <c r="H46" s="19" t="b">
        <f>AND(J46&lt;&gt;"", T46&gt;75)</f>
        <v>0</v>
      </c>
      <c r="J46" s="6"/>
      <c r="Q46" s="6" t="s">
        <v>115</v>
      </c>
      <c r="R46" s="6" t="s">
        <v>115</v>
      </c>
      <c r="U46" s="7">
        <v>60</v>
      </c>
    </row>
    <row r="47" spans="1:22" hidden="1" x14ac:dyDescent="0.3">
      <c r="A47" s="5">
        <v>897052</v>
      </c>
      <c r="B47" s="5" t="s">
        <v>116</v>
      </c>
      <c r="G47" s="19" t="b">
        <f t="shared" si="0"/>
        <v>0</v>
      </c>
      <c r="H47" s="19" t="b">
        <f>AND(J47&lt;&gt;"", T47&gt;75)</f>
        <v>0</v>
      </c>
      <c r="I47" s="6">
        <v>184823</v>
      </c>
      <c r="J47" s="6">
        <v>11335</v>
      </c>
      <c r="K47" s="6" t="s">
        <v>117</v>
      </c>
      <c r="L47" s="14" t="s">
        <v>118</v>
      </c>
      <c r="M47" s="6">
        <v>39121304</v>
      </c>
      <c r="O47" s="6">
        <v>208316</v>
      </c>
      <c r="P47" s="6" t="s">
        <v>119</v>
      </c>
      <c r="Q47" s="6" t="s">
        <v>117</v>
      </c>
      <c r="S47" s="8">
        <v>0.365765807132863</v>
      </c>
      <c r="T47" s="8">
        <v>50.788290356643103</v>
      </c>
      <c r="U47" s="8">
        <v>56.788290356643103</v>
      </c>
      <c r="V47" s="7">
        <v>0</v>
      </c>
    </row>
    <row r="48" spans="1:22" hidden="1" x14ac:dyDescent="0.3">
      <c r="A48" s="5">
        <v>897055</v>
      </c>
      <c r="B48" s="5" t="s">
        <v>120</v>
      </c>
      <c r="C48" s="5" t="s">
        <v>121</v>
      </c>
      <c r="D48" s="5">
        <v>12803</v>
      </c>
      <c r="F48" s="17" t="s">
        <v>122</v>
      </c>
      <c r="G48" s="19" t="b">
        <f t="shared" si="0"/>
        <v>1</v>
      </c>
      <c r="H48" s="19" t="b">
        <f>AND(J48&lt;&gt;"", T48&gt;75)</f>
        <v>1</v>
      </c>
      <c r="I48" s="6">
        <v>340806</v>
      </c>
      <c r="J48" s="11">
        <v>12803</v>
      </c>
      <c r="K48" s="6" t="s">
        <v>117</v>
      </c>
      <c r="L48" s="14" t="s">
        <v>123</v>
      </c>
      <c r="M48" s="6">
        <v>39131708</v>
      </c>
      <c r="N48" s="6" t="s">
        <v>124</v>
      </c>
      <c r="O48" s="6">
        <v>264648</v>
      </c>
      <c r="P48" s="6" t="s">
        <v>120</v>
      </c>
      <c r="Q48" s="6" t="s">
        <v>117</v>
      </c>
      <c r="R48" s="6" t="s">
        <v>121</v>
      </c>
      <c r="S48" s="7">
        <v>1</v>
      </c>
      <c r="T48" s="7">
        <v>92.5</v>
      </c>
      <c r="U48" s="7">
        <v>78.5</v>
      </c>
      <c r="V48" s="7">
        <v>100</v>
      </c>
    </row>
    <row r="49" spans="1:22" x14ac:dyDescent="0.3">
      <c r="A49" s="5">
        <v>897056</v>
      </c>
      <c r="B49" s="5" t="s">
        <v>125</v>
      </c>
      <c r="C49" s="5" t="s">
        <v>126</v>
      </c>
      <c r="D49" s="5" t="s">
        <v>127</v>
      </c>
      <c r="F49" s="16">
        <v>98006006003</v>
      </c>
      <c r="G49" s="19" t="b">
        <f t="shared" si="0"/>
        <v>1</v>
      </c>
      <c r="H49" s="19" t="b">
        <f>AND(J49&lt;&gt;"", T49&gt;75)</f>
        <v>0</v>
      </c>
      <c r="J49" s="6"/>
      <c r="Q49" s="6" t="s">
        <v>39</v>
      </c>
      <c r="R49" s="6" t="s">
        <v>126</v>
      </c>
      <c r="U49" s="7">
        <v>60</v>
      </c>
    </row>
    <row r="50" spans="1:22" x14ac:dyDescent="0.3">
      <c r="A50" s="5">
        <v>897057</v>
      </c>
      <c r="B50" s="5" t="s">
        <v>2352</v>
      </c>
      <c r="C50" s="5" t="s">
        <v>42</v>
      </c>
      <c r="D50" s="5" t="s">
        <v>128</v>
      </c>
      <c r="E50" s="5" t="s">
        <v>124</v>
      </c>
      <c r="F50" s="16">
        <v>78101140333</v>
      </c>
      <c r="G50" s="19" t="b">
        <f t="shared" si="0"/>
        <v>1</v>
      </c>
      <c r="H50" s="19" t="b">
        <f>AND(J50&lt;&gt;"", T50&gt;75)</f>
        <v>0</v>
      </c>
      <c r="J50" s="6"/>
      <c r="Q50" s="6" t="s">
        <v>42</v>
      </c>
      <c r="R50" s="6" t="s">
        <v>42</v>
      </c>
      <c r="U50" s="7">
        <v>90</v>
      </c>
    </row>
    <row r="51" spans="1:22" hidden="1" x14ac:dyDescent="0.3">
      <c r="A51" s="5">
        <v>897058</v>
      </c>
      <c r="B51" s="5" t="s">
        <v>129</v>
      </c>
      <c r="C51" s="5" t="s">
        <v>130</v>
      </c>
      <c r="D51" s="5" t="s">
        <v>131</v>
      </c>
      <c r="E51" s="5" t="s">
        <v>132</v>
      </c>
      <c r="F51" s="17" t="s">
        <v>133</v>
      </c>
      <c r="G51" s="19" t="b">
        <f t="shared" si="0"/>
        <v>1</v>
      </c>
      <c r="H51" s="19" t="b">
        <f>AND(J51&lt;&gt;"", T51&gt;75)</f>
        <v>1</v>
      </c>
      <c r="I51" s="6">
        <v>249197</v>
      </c>
      <c r="J51" s="11">
        <v>48207451</v>
      </c>
      <c r="K51" s="6" t="s">
        <v>134</v>
      </c>
      <c r="L51" s="14" t="s">
        <v>135</v>
      </c>
      <c r="M51" s="6">
        <v>27111543</v>
      </c>
      <c r="O51" s="6">
        <v>15193</v>
      </c>
      <c r="P51" s="6" t="s">
        <v>129</v>
      </c>
      <c r="Q51" s="6" t="s">
        <v>134</v>
      </c>
      <c r="R51" s="6" t="s">
        <v>130</v>
      </c>
      <c r="S51" s="8">
        <v>0.99999914041654203</v>
      </c>
      <c r="T51" s="7">
        <v>100</v>
      </c>
      <c r="U51" s="7">
        <v>100</v>
      </c>
      <c r="V51" s="7">
        <v>100</v>
      </c>
    </row>
    <row r="52" spans="1:22" x14ac:dyDescent="0.3">
      <c r="A52" s="5">
        <v>897059</v>
      </c>
      <c r="B52" s="5" t="s">
        <v>136</v>
      </c>
      <c r="C52" s="5" t="s">
        <v>137</v>
      </c>
      <c r="D52" s="5" t="s">
        <v>138</v>
      </c>
      <c r="E52" s="5" t="s">
        <v>139</v>
      </c>
      <c r="F52" s="16">
        <v>98006006103</v>
      </c>
      <c r="G52" s="19" t="b">
        <f t="shared" si="0"/>
        <v>1</v>
      </c>
      <c r="H52" s="19" t="b">
        <f>AND(J52&lt;&gt;"", T52&gt;75)</f>
        <v>0</v>
      </c>
      <c r="J52" s="6"/>
      <c r="Q52" s="6" t="s">
        <v>39</v>
      </c>
      <c r="R52" s="6" t="s">
        <v>137</v>
      </c>
      <c r="U52" s="7">
        <v>90</v>
      </c>
    </row>
    <row r="53" spans="1:22" hidden="1" x14ac:dyDescent="0.3">
      <c r="A53" s="5">
        <v>897060</v>
      </c>
      <c r="B53" s="5" t="s">
        <v>140</v>
      </c>
      <c r="C53" s="5" t="s">
        <v>141</v>
      </c>
      <c r="D53" s="5">
        <v>32766</v>
      </c>
      <c r="E53" s="5" t="s">
        <v>142</v>
      </c>
      <c r="F53" s="17" t="s">
        <v>143</v>
      </c>
      <c r="G53" s="19" t="b">
        <f t="shared" si="0"/>
        <v>1</v>
      </c>
      <c r="H53" s="19" t="b">
        <f>AND(J53&lt;&gt;"", T53&gt;75)</f>
        <v>1</v>
      </c>
      <c r="I53" s="6">
        <v>307266</v>
      </c>
      <c r="J53" s="11">
        <v>32766</v>
      </c>
      <c r="K53" s="6" t="s">
        <v>144</v>
      </c>
      <c r="L53" s="14" t="s">
        <v>145</v>
      </c>
      <c r="M53" s="6">
        <v>27112828</v>
      </c>
      <c r="O53" s="6">
        <v>97354</v>
      </c>
      <c r="P53" s="6" t="s">
        <v>146</v>
      </c>
      <c r="Q53" s="6" t="s">
        <v>144</v>
      </c>
      <c r="R53" s="6" t="s">
        <v>141</v>
      </c>
      <c r="S53" s="7">
        <v>0.89919982920306996</v>
      </c>
      <c r="T53" s="7">
        <v>97.459991460153503</v>
      </c>
      <c r="U53" s="7">
        <v>100</v>
      </c>
      <c r="V53" s="7">
        <v>100</v>
      </c>
    </row>
    <row r="54" spans="1:22" x14ac:dyDescent="0.3">
      <c r="A54" s="5">
        <v>897061</v>
      </c>
      <c r="B54" s="5" t="s">
        <v>2353</v>
      </c>
      <c r="C54" s="5" t="s">
        <v>147</v>
      </c>
      <c r="D54" s="5" t="s">
        <v>148</v>
      </c>
      <c r="F54" s="16" t="s">
        <v>149</v>
      </c>
      <c r="G54" s="19" t="b">
        <f t="shared" si="0"/>
        <v>0</v>
      </c>
      <c r="H54" s="19" t="b">
        <f>AND(J54&lt;&gt;"", T54&gt;75)</f>
        <v>0</v>
      </c>
      <c r="J54" s="6"/>
      <c r="U54" s="7">
        <v>0</v>
      </c>
    </row>
    <row r="55" spans="1:22" hidden="1" x14ac:dyDescent="0.3">
      <c r="A55" s="5">
        <v>897062</v>
      </c>
      <c r="B55" s="5" t="s">
        <v>150</v>
      </c>
      <c r="C55" s="5" t="s">
        <v>151</v>
      </c>
      <c r="D55" s="5" t="s">
        <v>152</v>
      </c>
      <c r="E55" s="5" t="s">
        <v>153</v>
      </c>
      <c r="F55" s="17" t="s">
        <v>154</v>
      </c>
      <c r="G55" s="19" t="b">
        <f t="shared" si="0"/>
        <v>1</v>
      </c>
      <c r="H55" s="19" t="b">
        <f>AND(J55&lt;&gt;"", T55&gt;75)</f>
        <v>1</v>
      </c>
      <c r="I55" s="6">
        <v>214845</v>
      </c>
      <c r="J55" s="11" t="s">
        <v>155</v>
      </c>
      <c r="K55" s="6" t="s">
        <v>151</v>
      </c>
      <c r="L55" s="14" t="s">
        <v>156</v>
      </c>
      <c r="M55" s="6">
        <v>26111702</v>
      </c>
      <c r="O55" s="6">
        <v>200434</v>
      </c>
      <c r="P55" s="6" t="s">
        <v>157</v>
      </c>
      <c r="Q55" s="6" t="s">
        <v>151</v>
      </c>
      <c r="R55" s="6" t="s">
        <v>151</v>
      </c>
      <c r="S55" s="8">
        <v>0.95078546066584302</v>
      </c>
      <c r="T55" s="7">
        <v>100</v>
      </c>
      <c r="U55" s="7">
        <v>100</v>
      </c>
      <c r="V55" s="7">
        <v>100</v>
      </c>
    </row>
    <row r="56" spans="1:22" hidden="1" x14ac:dyDescent="0.3">
      <c r="A56" s="5">
        <v>897063</v>
      </c>
      <c r="B56" s="5" t="s">
        <v>158</v>
      </c>
      <c r="C56" s="5" t="s">
        <v>115</v>
      </c>
      <c r="D56" s="5" t="s">
        <v>159</v>
      </c>
      <c r="E56" s="5" t="s">
        <v>160</v>
      </c>
      <c r="F56" s="17" t="s">
        <v>161</v>
      </c>
      <c r="G56" s="19" t="b">
        <f t="shared" si="0"/>
        <v>1</v>
      </c>
      <c r="H56" s="19" t="b">
        <f>AND(J56&lt;&gt;"", T56&gt;75)</f>
        <v>1</v>
      </c>
      <c r="I56" s="6">
        <v>341784</v>
      </c>
      <c r="J56" s="11" t="s">
        <v>162</v>
      </c>
      <c r="K56" s="6" t="s">
        <v>115</v>
      </c>
      <c r="L56" s="14" t="s">
        <v>163</v>
      </c>
      <c r="M56" s="6">
        <v>31201501</v>
      </c>
      <c r="N56" s="6" t="s">
        <v>160</v>
      </c>
      <c r="O56" s="6">
        <v>272692</v>
      </c>
      <c r="P56" s="6" t="s">
        <v>164</v>
      </c>
      <c r="Q56" s="6" t="s">
        <v>115</v>
      </c>
      <c r="R56" s="6" t="s">
        <v>115</v>
      </c>
      <c r="S56" s="8">
        <v>0.95989759892885096</v>
      </c>
      <c r="T56" s="7">
        <v>100</v>
      </c>
      <c r="U56" s="7">
        <v>100</v>
      </c>
      <c r="V56" s="7">
        <v>100</v>
      </c>
    </row>
    <row r="57" spans="1:22" hidden="1" x14ac:dyDescent="0.3">
      <c r="A57" s="5">
        <v>897064</v>
      </c>
      <c r="B57" s="5" t="s">
        <v>165</v>
      </c>
      <c r="C57" s="5" t="s">
        <v>166</v>
      </c>
      <c r="D57" s="5" t="s">
        <v>167</v>
      </c>
      <c r="F57" s="17" t="s">
        <v>168</v>
      </c>
      <c r="G57" s="19" t="b">
        <f t="shared" si="0"/>
        <v>0</v>
      </c>
      <c r="H57" s="19" t="b">
        <f>AND(J57&lt;&gt;"", T57&gt;75)</f>
        <v>0</v>
      </c>
      <c r="I57" s="6">
        <v>338315</v>
      </c>
      <c r="J57" s="6" t="s">
        <v>167</v>
      </c>
      <c r="K57" s="6" t="s">
        <v>81</v>
      </c>
      <c r="L57" s="14" t="s">
        <v>169</v>
      </c>
      <c r="M57" s="6">
        <v>31161504</v>
      </c>
      <c r="N57" s="6" t="s">
        <v>170</v>
      </c>
      <c r="O57" s="6">
        <v>257224</v>
      </c>
      <c r="P57" s="6" t="s">
        <v>171</v>
      </c>
      <c r="Q57" s="6" t="s">
        <v>81</v>
      </c>
      <c r="S57" s="8">
        <v>0.92196298640262597</v>
      </c>
      <c r="T57" s="8">
        <v>63.598149320131299</v>
      </c>
      <c r="U57" s="8">
        <v>17.598149320131299</v>
      </c>
      <c r="V57" s="8">
        <v>83.392597280525294</v>
      </c>
    </row>
    <row r="58" spans="1:22" x14ac:dyDescent="0.3">
      <c r="A58" s="5">
        <v>897065</v>
      </c>
      <c r="B58" s="5" t="s">
        <v>172</v>
      </c>
      <c r="C58" s="5" t="s">
        <v>137</v>
      </c>
      <c r="D58" s="5" t="s">
        <v>173</v>
      </c>
      <c r="E58" s="5" t="s">
        <v>174</v>
      </c>
      <c r="F58" s="16">
        <v>98006006043</v>
      </c>
      <c r="G58" s="19" t="b">
        <f t="shared" si="0"/>
        <v>1</v>
      </c>
      <c r="H58" s="19" t="b">
        <f>AND(J58&lt;&gt;"", T58&gt;75)</f>
        <v>0</v>
      </c>
      <c r="J58" s="6"/>
      <c r="Q58" s="6" t="s">
        <v>39</v>
      </c>
      <c r="R58" s="6" t="s">
        <v>137</v>
      </c>
      <c r="U58" s="7">
        <v>90</v>
      </c>
    </row>
    <row r="59" spans="1:22" hidden="1" x14ac:dyDescent="0.3">
      <c r="A59" s="5">
        <v>897066</v>
      </c>
      <c r="B59" s="5" t="s">
        <v>175</v>
      </c>
      <c r="C59" s="5" t="s">
        <v>34</v>
      </c>
      <c r="D59" s="5" t="s">
        <v>176</v>
      </c>
      <c r="E59" s="5" t="s">
        <v>170</v>
      </c>
      <c r="F59" s="16">
        <v>78331005761</v>
      </c>
      <c r="G59" s="19" t="b">
        <f t="shared" si="0"/>
        <v>0</v>
      </c>
      <c r="H59" s="19" t="b">
        <f>AND(J59&lt;&gt;"", T59&gt;75)</f>
        <v>0</v>
      </c>
      <c r="I59" s="6">
        <v>336422</v>
      </c>
      <c r="J59" s="6">
        <v>645001</v>
      </c>
      <c r="K59" s="6" t="s">
        <v>65</v>
      </c>
      <c r="L59" s="13">
        <v>783310057611</v>
      </c>
      <c r="M59" s="6">
        <v>27112800</v>
      </c>
      <c r="N59" s="6" t="s">
        <v>177</v>
      </c>
      <c r="O59" s="6">
        <v>259171</v>
      </c>
      <c r="P59" s="6" t="s">
        <v>178</v>
      </c>
      <c r="Q59" s="6" t="s">
        <v>65</v>
      </c>
      <c r="S59" s="8">
        <v>0.88221864841023601</v>
      </c>
      <c r="T59" s="8">
        <v>61.610932420511801</v>
      </c>
      <c r="U59" s="8">
        <v>15.6109324205118</v>
      </c>
      <c r="V59" s="8">
        <v>75.443729682047206</v>
      </c>
    </row>
    <row r="60" spans="1:22" x14ac:dyDescent="0.3">
      <c r="A60" s="5">
        <v>897068</v>
      </c>
      <c r="B60" s="5" t="s">
        <v>2354</v>
      </c>
      <c r="C60" s="5" t="s">
        <v>179</v>
      </c>
      <c r="D60" s="5" t="s">
        <v>180</v>
      </c>
      <c r="E60" s="5" t="s">
        <v>181</v>
      </c>
      <c r="G60" s="19" t="b">
        <f t="shared" si="0"/>
        <v>0</v>
      </c>
      <c r="H60" s="19" t="b">
        <f>AND(J60&lt;&gt;"", T60&gt;75)</f>
        <v>0</v>
      </c>
      <c r="J60" s="6"/>
    </row>
    <row r="61" spans="1:22" x14ac:dyDescent="0.3">
      <c r="A61" s="5">
        <v>897069</v>
      </c>
      <c r="B61" s="5" t="s">
        <v>2355</v>
      </c>
      <c r="C61" s="5" t="s">
        <v>179</v>
      </c>
      <c r="D61" s="5" t="s">
        <v>182</v>
      </c>
      <c r="E61" s="5" t="s">
        <v>183</v>
      </c>
      <c r="F61" s="16">
        <v>7498303395</v>
      </c>
      <c r="G61" s="19" t="b">
        <f t="shared" si="0"/>
        <v>0</v>
      </c>
      <c r="H61" s="19" t="b">
        <f>AND(J61&lt;&gt;"", T61&gt;75)</f>
        <v>0</v>
      </c>
      <c r="J61" s="6"/>
    </row>
    <row r="62" spans="1:22" x14ac:dyDescent="0.3">
      <c r="A62" s="5">
        <v>897070</v>
      </c>
      <c r="B62" s="5" t="s">
        <v>2356</v>
      </c>
      <c r="C62" s="5" t="s">
        <v>184</v>
      </c>
      <c r="D62" s="5" t="s">
        <v>185</v>
      </c>
      <c r="G62" s="19" t="b">
        <f t="shared" si="0"/>
        <v>0</v>
      </c>
      <c r="H62" s="19" t="b">
        <f>AND(J62&lt;&gt;"", T62&gt;75)</f>
        <v>0</v>
      </c>
      <c r="J62" s="6"/>
    </row>
    <row r="63" spans="1:22" x14ac:dyDescent="0.3">
      <c r="A63" s="5">
        <v>897071</v>
      </c>
      <c r="B63" s="5" t="s">
        <v>2357</v>
      </c>
      <c r="C63" s="5" t="s">
        <v>186</v>
      </c>
      <c r="D63" s="5" t="s">
        <v>187</v>
      </c>
      <c r="E63" s="5" t="s">
        <v>188</v>
      </c>
      <c r="G63" s="19" t="b">
        <f t="shared" si="0"/>
        <v>1</v>
      </c>
      <c r="H63" s="19" t="b">
        <f>AND(J63&lt;&gt;"", T63&gt;75)</f>
        <v>0</v>
      </c>
      <c r="J63" s="6"/>
      <c r="Q63" s="6" t="s">
        <v>39</v>
      </c>
      <c r="R63" s="6" t="s">
        <v>40</v>
      </c>
      <c r="U63" s="7">
        <v>50</v>
      </c>
    </row>
    <row r="64" spans="1:22" hidden="1" x14ac:dyDescent="0.3">
      <c r="A64" s="5">
        <v>897072</v>
      </c>
      <c r="B64" s="5" t="s">
        <v>189</v>
      </c>
      <c r="C64" s="5" t="s">
        <v>190</v>
      </c>
      <c r="D64" s="5" t="s">
        <v>191</v>
      </c>
      <c r="E64" s="5" t="s">
        <v>192</v>
      </c>
      <c r="F64" s="16">
        <v>78500704864</v>
      </c>
      <c r="G64" s="19" t="b">
        <f t="shared" si="0"/>
        <v>1</v>
      </c>
      <c r="H64" s="19" t="b">
        <f>AND(J64&lt;&gt;"", T64&gt;75)</f>
        <v>1</v>
      </c>
      <c r="I64" s="6">
        <v>341031</v>
      </c>
      <c r="J64" s="11" t="s">
        <v>193</v>
      </c>
      <c r="K64" s="6" t="s">
        <v>194</v>
      </c>
      <c r="L64" s="13">
        <v>785007048643</v>
      </c>
      <c r="M64" s="6">
        <v>39121406</v>
      </c>
      <c r="N64" s="6" t="s">
        <v>192</v>
      </c>
      <c r="O64" s="6">
        <v>265943</v>
      </c>
      <c r="P64" s="6" t="s">
        <v>195</v>
      </c>
      <c r="Q64" s="6" t="s">
        <v>194</v>
      </c>
      <c r="R64" s="6" t="s">
        <v>190</v>
      </c>
      <c r="S64" s="8">
        <v>0.99489867098193097</v>
      </c>
      <c r="T64" s="7">
        <v>100</v>
      </c>
      <c r="U64" s="7">
        <v>100</v>
      </c>
      <c r="V64" s="7">
        <v>100</v>
      </c>
    </row>
    <row r="65" spans="1:22" x14ac:dyDescent="0.3">
      <c r="A65" s="5">
        <v>897073</v>
      </c>
      <c r="B65" s="5" t="s">
        <v>2358</v>
      </c>
      <c r="C65" s="5" t="s">
        <v>196</v>
      </c>
      <c r="D65" s="5" t="s">
        <v>197</v>
      </c>
      <c r="E65" s="5" t="s">
        <v>198</v>
      </c>
      <c r="F65" s="16">
        <v>1899750800</v>
      </c>
      <c r="G65" s="19" t="b">
        <f t="shared" si="0"/>
        <v>0</v>
      </c>
      <c r="H65" s="19" t="b">
        <f>AND(J65&lt;&gt;"", T65&gt;75)</f>
        <v>0</v>
      </c>
      <c r="J65" s="6"/>
    </row>
    <row r="66" spans="1:22" x14ac:dyDescent="0.3">
      <c r="A66" s="5">
        <v>897074</v>
      </c>
      <c r="B66" s="5" t="s">
        <v>2359</v>
      </c>
      <c r="C66" s="5" t="s">
        <v>199</v>
      </c>
      <c r="D66" s="5" t="s">
        <v>200</v>
      </c>
      <c r="G66" s="19" t="b">
        <f t="shared" si="0"/>
        <v>0</v>
      </c>
      <c r="H66" s="19" t="b">
        <f>AND(J66&lt;&gt;"", T66&gt;75)</f>
        <v>0</v>
      </c>
      <c r="J66" s="6"/>
    </row>
    <row r="67" spans="1:22" x14ac:dyDescent="0.3">
      <c r="A67" s="5">
        <v>897075</v>
      </c>
      <c r="B67" s="5" t="s">
        <v>201</v>
      </c>
      <c r="C67" s="5" t="s">
        <v>202</v>
      </c>
      <c r="D67" s="5" t="s">
        <v>203</v>
      </c>
      <c r="G67" s="19" t="b">
        <f t="shared" ref="G67:G130" si="1">(R67&lt;&gt;"")</f>
        <v>1</v>
      </c>
      <c r="H67" s="19" t="b">
        <f>AND(J67&lt;&gt;"", T67&gt;75)</f>
        <v>0</v>
      </c>
      <c r="J67" s="6"/>
      <c r="Q67" s="6" t="s">
        <v>204</v>
      </c>
      <c r="R67" s="6" t="s">
        <v>202</v>
      </c>
      <c r="U67" s="7">
        <v>100</v>
      </c>
    </row>
    <row r="68" spans="1:22" x14ac:dyDescent="0.3">
      <c r="A68" s="5">
        <v>897076</v>
      </c>
      <c r="B68" s="5" t="s">
        <v>201</v>
      </c>
      <c r="C68" s="5" t="s">
        <v>202</v>
      </c>
      <c r="D68" s="5" t="s">
        <v>203</v>
      </c>
      <c r="G68" s="19" t="b">
        <f t="shared" si="1"/>
        <v>1</v>
      </c>
      <c r="H68" s="19" t="b">
        <f>AND(J68&lt;&gt;"", T68&gt;75)</f>
        <v>0</v>
      </c>
      <c r="J68" s="6"/>
      <c r="Q68" s="6" t="s">
        <v>204</v>
      </c>
      <c r="R68" s="6" t="s">
        <v>202</v>
      </c>
      <c r="U68" s="7">
        <v>100</v>
      </c>
    </row>
    <row r="69" spans="1:22" x14ac:dyDescent="0.3">
      <c r="A69" s="5">
        <v>897077</v>
      </c>
      <c r="B69" s="5" t="s">
        <v>205</v>
      </c>
      <c r="C69" s="5" t="s">
        <v>202</v>
      </c>
      <c r="D69" s="5" t="s">
        <v>206</v>
      </c>
      <c r="G69" s="19" t="b">
        <f t="shared" si="1"/>
        <v>1</v>
      </c>
      <c r="H69" s="19" t="b">
        <f>AND(J69&lt;&gt;"", T69&gt;75)</f>
        <v>0</v>
      </c>
      <c r="J69" s="6"/>
      <c r="Q69" s="6" t="s">
        <v>204</v>
      </c>
      <c r="R69" s="6" t="s">
        <v>202</v>
      </c>
      <c r="U69" s="7">
        <v>50</v>
      </c>
    </row>
    <row r="70" spans="1:22" x14ac:dyDescent="0.3">
      <c r="A70" s="5">
        <v>897078</v>
      </c>
      <c r="B70" s="5" t="s">
        <v>2360</v>
      </c>
      <c r="C70" s="5" t="s">
        <v>202</v>
      </c>
      <c r="D70" s="5" t="s">
        <v>207</v>
      </c>
      <c r="G70" s="19" t="b">
        <f t="shared" si="1"/>
        <v>1</v>
      </c>
      <c r="H70" s="19" t="b">
        <f>AND(J70&lt;&gt;"", T70&gt;75)</f>
        <v>0</v>
      </c>
      <c r="J70" s="6"/>
      <c r="Q70" s="6" t="s">
        <v>204</v>
      </c>
      <c r="R70" s="6" t="s">
        <v>202</v>
      </c>
      <c r="U70" s="7">
        <v>100</v>
      </c>
    </row>
    <row r="71" spans="1:22" x14ac:dyDescent="0.3">
      <c r="A71" s="5">
        <v>897079</v>
      </c>
      <c r="B71" s="5" t="s">
        <v>2361</v>
      </c>
      <c r="C71" s="5" t="s">
        <v>202</v>
      </c>
      <c r="D71" s="5" t="s">
        <v>208</v>
      </c>
      <c r="G71" s="19" t="b">
        <f t="shared" si="1"/>
        <v>1</v>
      </c>
      <c r="H71" s="19" t="b">
        <f>AND(J71&lt;&gt;"", T71&gt;75)</f>
        <v>0</v>
      </c>
      <c r="J71" s="6"/>
      <c r="Q71" s="6" t="s">
        <v>204</v>
      </c>
      <c r="R71" s="6" t="s">
        <v>202</v>
      </c>
      <c r="U71" s="7">
        <v>100</v>
      </c>
    </row>
    <row r="72" spans="1:22" x14ac:dyDescent="0.3">
      <c r="A72" s="5">
        <v>897080</v>
      </c>
      <c r="B72" s="5" t="s">
        <v>2362</v>
      </c>
      <c r="C72" s="5" t="s">
        <v>202</v>
      </c>
      <c r="D72" s="5" t="s">
        <v>209</v>
      </c>
      <c r="G72" s="19" t="b">
        <f t="shared" si="1"/>
        <v>1</v>
      </c>
      <c r="H72" s="19" t="b">
        <f>AND(J72&lt;&gt;"", T72&gt;75)</f>
        <v>0</v>
      </c>
      <c r="J72" s="6"/>
      <c r="Q72" s="6" t="s">
        <v>204</v>
      </c>
      <c r="R72" s="6" t="s">
        <v>202</v>
      </c>
      <c r="U72" s="7">
        <v>100</v>
      </c>
    </row>
    <row r="73" spans="1:22" hidden="1" x14ac:dyDescent="0.3">
      <c r="A73" s="5">
        <v>897081</v>
      </c>
      <c r="B73" s="5" t="s">
        <v>210</v>
      </c>
      <c r="C73" s="5" t="s">
        <v>202</v>
      </c>
      <c r="D73" s="5" t="s">
        <v>211</v>
      </c>
      <c r="G73" s="19" t="b">
        <f t="shared" si="1"/>
        <v>0</v>
      </c>
      <c r="H73" s="19" t="b">
        <f>AND(J73&lt;&gt;"", T73&gt;75)</f>
        <v>0</v>
      </c>
      <c r="I73" s="6">
        <v>277303</v>
      </c>
      <c r="J73" s="6">
        <v>54058</v>
      </c>
      <c r="K73" s="6" t="s">
        <v>212</v>
      </c>
      <c r="L73" s="14" t="s">
        <v>213</v>
      </c>
      <c r="M73" s="6">
        <v>27112700</v>
      </c>
      <c r="O73" s="6">
        <v>81795</v>
      </c>
      <c r="P73" s="6" t="s">
        <v>214</v>
      </c>
      <c r="Q73" s="6" t="s">
        <v>212</v>
      </c>
      <c r="S73" s="8">
        <v>0.42042715740858799</v>
      </c>
      <c r="T73" s="8">
        <v>30.320484491955799</v>
      </c>
      <c r="U73" s="8">
        <v>17.504422339934099</v>
      </c>
      <c r="V73" s="7">
        <v>0</v>
      </c>
    </row>
    <row r="74" spans="1:22" x14ac:dyDescent="0.3">
      <c r="A74" s="5">
        <v>897082</v>
      </c>
      <c r="B74" s="5" t="s">
        <v>2363</v>
      </c>
      <c r="C74" s="5" t="s">
        <v>202</v>
      </c>
      <c r="D74" s="5" t="s">
        <v>215</v>
      </c>
      <c r="G74" s="19" t="b">
        <f t="shared" si="1"/>
        <v>1</v>
      </c>
      <c r="H74" s="19" t="b">
        <f>AND(J74&lt;&gt;"", T74&gt;75)</f>
        <v>0</v>
      </c>
      <c r="J74" s="6"/>
      <c r="Q74" s="6" t="s">
        <v>204</v>
      </c>
      <c r="R74" s="6" t="s">
        <v>202</v>
      </c>
      <c r="U74" s="7">
        <v>100</v>
      </c>
    </row>
    <row r="75" spans="1:22" x14ac:dyDescent="0.3">
      <c r="A75" s="5">
        <v>897083</v>
      </c>
      <c r="B75" s="5" t="s">
        <v>216</v>
      </c>
      <c r="C75" s="5" t="s">
        <v>202</v>
      </c>
      <c r="D75" s="5" t="s">
        <v>217</v>
      </c>
      <c r="E75" s="5" t="s">
        <v>218</v>
      </c>
      <c r="G75" s="19" t="b">
        <f t="shared" si="1"/>
        <v>1</v>
      </c>
      <c r="H75" s="19" t="b">
        <f>AND(J75&lt;&gt;"", T75&gt;75)</f>
        <v>0</v>
      </c>
      <c r="J75" s="6"/>
      <c r="Q75" s="6" t="s">
        <v>204</v>
      </c>
      <c r="R75" s="6" t="s">
        <v>202</v>
      </c>
      <c r="U75" s="7">
        <v>100</v>
      </c>
    </row>
    <row r="76" spans="1:22" x14ac:dyDescent="0.3">
      <c r="A76" s="5">
        <v>897084</v>
      </c>
      <c r="B76" s="5" t="s">
        <v>219</v>
      </c>
      <c r="C76" s="5" t="s">
        <v>220</v>
      </c>
      <c r="G76" s="19" t="b">
        <f t="shared" si="1"/>
        <v>1</v>
      </c>
      <c r="H76" s="19" t="b">
        <f>AND(J76&lt;&gt;"", T76&gt;75)</f>
        <v>0</v>
      </c>
      <c r="J76" s="6"/>
      <c r="Q76" s="6" t="s">
        <v>221</v>
      </c>
      <c r="R76" s="6" t="s">
        <v>221</v>
      </c>
      <c r="U76" s="7">
        <v>95</v>
      </c>
    </row>
    <row r="77" spans="1:22" hidden="1" x14ac:dyDescent="0.3">
      <c r="A77" s="5">
        <v>897085</v>
      </c>
      <c r="B77" s="5" t="s">
        <v>222</v>
      </c>
      <c r="C77" s="5" t="s">
        <v>117</v>
      </c>
      <c r="D77" s="5">
        <v>30283</v>
      </c>
      <c r="G77" s="19" t="b">
        <f t="shared" si="1"/>
        <v>1</v>
      </c>
      <c r="H77" s="19" t="b">
        <f>AND(J77&lt;&gt;"", T77&gt;75)</f>
        <v>1</v>
      </c>
      <c r="I77" s="6">
        <v>172067</v>
      </c>
      <c r="J77" s="11">
        <v>30283</v>
      </c>
      <c r="K77" s="6" t="s">
        <v>117</v>
      </c>
      <c r="L77" s="14" t="s">
        <v>223</v>
      </c>
      <c r="M77" s="6">
        <v>39121304</v>
      </c>
      <c r="O77" s="6">
        <v>36550</v>
      </c>
      <c r="P77" s="6" t="s">
        <v>224</v>
      </c>
      <c r="Q77" s="6" t="s">
        <v>117</v>
      </c>
      <c r="R77" s="6" t="s">
        <v>117</v>
      </c>
      <c r="S77" s="8">
        <v>0.74734486282620904</v>
      </c>
      <c r="T77" s="8">
        <v>89.867243141310396</v>
      </c>
      <c r="U77" s="7">
        <v>100</v>
      </c>
      <c r="V77" s="8">
        <v>85.468972565241799</v>
      </c>
    </row>
    <row r="78" spans="1:22" hidden="1" x14ac:dyDescent="0.3">
      <c r="A78" s="5">
        <v>897086</v>
      </c>
      <c r="B78" s="5" t="s">
        <v>225</v>
      </c>
      <c r="C78" s="5" t="s">
        <v>226</v>
      </c>
      <c r="D78" s="5" t="s">
        <v>227</v>
      </c>
      <c r="G78" s="19" t="b">
        <f t="shared" si="1"/>
        <v>1</v>
      </c>
      <c r="H78" s="19" t="b">
        <f>AND(J78&lt;&gt;"", T78&gt;75)</f>
        <v>1</v>
      </c>
      <c r="I78" s="6">
        <v>336109</v>
      </c>
      <c r="J78" s="11" t="s">
        <v>228</v>
      </c>
      <c r="K78" s="6" t="s">
        <v>65</v>
      </c>
      <c r="L78" s="13">
        <v>783310176114</v>
      </c>
      <c r="M78" s="6">
        <v>27112800</v>
      </c>
      <c r="N78" s="6" t="s">
        <v>229</v>
      </c>
      <c r="O78" s="6">
        <v>259137</v>
      </c>
      <c r="P78" s="6" t="s">
        <v>230</v>
      </c>
      <c r="Q78" s="6" t="s">
        <v>65</v>
      </c>
      <c r="R78" s="6" t="s">
        <v>226</v>
      </c>
      <c r="S78" s="8">
        <v>0.910633172210775</v>
      </c>
      <c r="T78" s="7">
        <v>100</v>
      </c>
      <c r="U78" s="7">
        <v>100</v>
      </c>
      <c r="V78" s="7">
        <v>100</v>
      </c>
    </row>
    <row r="79" spans="1:22" hidden="1" x14ac:dyDescent="0.3">
      <c r="A79" s="5">
        <v>897087</v>
      </c>
      <c r="B79" s="5" t="s">
        <v>231</v>
      </c>
      <c r="C79" s="5" t="s">
        <v>226</v>
      </c>
      <c r="D79" s="5" t="s">
        <v>232</v>
      </c>
      <c r="G79" s="19" t="b">
        <f t="shared" si="1"/>
        <v>1</v>
      </c>
      <c r="H79" s="19" t="b">
        <f>AND(J79&lt;&gt;"", T79&gt;75)</f>
        <v>1</v>
      </c>
      <c r="I79" s="6">
        <v>336423</v>
      </c>
      <c r="J79" s="11" t="s">
        <v>233</v>
      </c>
      <c r="K79" s="6" t="s">
        <v>65</v>
      </c>
      <c r="L79" s="13">
        <v>783310176121</v>
      </c>
      <c r="M79" s="6">
        <v>27112800</v>
      </c>
      <c r="N79" s="6" t="s">
        <v>234</v>
      </c>
      <c r="O79" s="6">
        <v>259139</v>
      </c>
      <c r="P79" s="6" t="s">
        <v>235</v>
      </c>
      <c r="Q79" s="6" t="s">
        <v>65</v>
      </c>
      <c r="R79" s="6" t="s">
        <v>226</v>
      </c>
      <c r="S79" s="8">
        <v>0.92145616492541504</v>
      </c>
      <c r="T79" s="7">
        <v>100</v>
      </c>
      <c r="U79" s="7">
        <v>100</v>
      </c>
      <c r="V79" s="7">
        <v>100</v>
      </c>
    </row>
    <row r="80" spans="1:22" x14ac:dyDescent="0.3">
      <c r="A80" s="5">
        <v>897088</v>
      </c>
      <c r="B80" s="5" t="s">
        <v>236</v>
      </c>
      <c r="C80" s="5" t="s">
        <v>237</v>
      </c>
      <c r="D80" s="5" t="s">
        <v>238</v>
      </c>
      <c r="G80" s="19" t="b">
        <f t="shared" si="1"/>
        <v>1</v>
      </c>
      <c r="H80" s="19" t="b">
        <f>AND(J80&lt;&gt;"", T80&gt;75)</f>
        <v>0</v>
      </c>
      <c r="J80" s="6"/>
      <c r="Q80" s="6" t="s">
        <v>39</v>
      </c>
      <c r="R80" s="6" t="s">
        <v>237</v>
      </c>
      <c r="U80" s="7">
        <v>100</v>
      </c>
    </row>
    <row r="81" spans="1:22" x14ac:dyDescent="0.3">
      <c r="A81" s="5">
        <v>897089</v>
      </c>
      <c r="B81" s="5" t="s">
        <v>239</v>
      </c>
      <c r="C81" s="5" t="s">
        <v>240</v>
      </c>
      <c r="D81" s="5" t="s">
        <v>241</v>
      </c>
      <c r="G81" s="19" t="b">
        <f t="shared" si="1"/>
        <v>1</v>
      </c>
      <c r="H81" s="19" t="b">
        <f>AND(J81&lt;&gt;"", T81&gt;75)</f>
        <v>0</v>
      </c>
      <c r="J81" s="6"/>
      <c r="Q81" s="6" t="s">
        <v>39</v>
      </c>
      <c r="R81" s="6" t="s">
        <v>240</v>
      </c>
      <c r="U81" s="7">
        <v>100</v>
      </c>
    </row>
    <row r="82" spans="1:22" x14ac:dyDescent="0.3">
      <c r="A82" s="5">
        <v>897090</v>
      </c>
      <c r="B82" s="5" t="s">
        <v>242</v>
      </c>
      <c r="C82" s="5" t="s">
        <v>240</v>
      </c>
      <c r="D82" s="5" t="s">
        <v>243</v>
      </c>
      <c r="G82" s="19" t="b">
        <f t="shared" si="1"/>
        <v>1</v>
      </c>
      <c r="H82" s="19" t="b">
        <f>AND(J82&lt;&gt;"", T82&gt;75)</f>
        <v>0</v>
      </c>
      <c r="J82" s="6"/>
      <c r="Q82" s="6" t="s">
        <v>39</v>
      </c>
      <c r="R82" s="6" t="s">
        <v>240</v>
      </c>
      <c r="U82" s="7">
        <v>100</v>
      </c>
    </row>
    <row r="83" spans="1:22" x14ac:dyDescent="0.3">
      <c r="A83" s="5">
        <v>897091</v>
      </c>
      <c r="B83" s="5" t="s">
        <v>244</v>
      </c>
      <c r="C83" s="5" t="s">
        <v>245</v>
      </c>
      <c r="D83" s="5">
        <v>323</v>
      </c>
      <c r="E83" s="5" t="s">
        <v>246</v>
      </c>
      <c r="G83" s="19" t="b">
        <f t="shared" si="1"/>
        <v>1</v>
      </c>
      <c r="H83" s="19" t="b">
        <f>AND(J83&lt;&gt;"", T83&gt;75)</f>
        <v>0</v>
      </c>
      <c r="J83" s="6"/>
      <c r="Q83" s="6" t="s">
        <v>247</v>
      </c>
      <c r="R83" s="6" t="s">
        <v>245</v>
      </c>
      <c r="U83" s="7">
        <v>100</v>
      </c>
    </row>
    <row r="84" spans="1:22" hidden="1" x14ac:dyDescent="0.3">
      <c r="A84" s="5">
        <v>897092</v>
      </c>
      <c r="B84" s="5" t="s">
        <v>248</v>
      </c>
      <c r="C84" s="5" t="s">
        <v>249</v>
      </c>
      <c r="D84" s="5" t="s">
        <v>250</v>
      </c>
      <c r="E84" s="5" t="s">
        <v>89</v>
      </c>
      <c r="G84" s="19" t="b">
        <f t="shared" si="1"/>
        <v>1</v>
      </c>
      <c r="H84" s="19" t="b">
        <f>AND(J84&lt;&gt;"", T84&gt;75)</f>
        <v>1</v>
      </c>
      <c r="I84" s="6">
        <v>335696</v>
      </c>
      <c r="J84" s="11" t="s">
        <v>251</v>
      </c>
      <c r="K84" s="6" t="s">
        <v>112</v>
      </c>
      <c r="L84" s="13">
        <v>781011213305</v>
      </c>
      <c r="M84" s="6">
        <v>30101804</v>
      </c>
      <c r="N84" s="6" t="s">
        <v>89</v>
      </c>
      <c r="O84" s="6">
        <v>269371</v>
      </c>
      <c r="P84" s="6" t="s">
        <v>252</v>
      </c>
      <c r="Q84" s="6" t="s">
        <v>42</v>
      </c>
      <c r="R84" s="6" t="s">
        <v>249</v>
      </c>
      <c r="S84" s="8">
        <v>0.91102880660337904</v>
      </c>
      <c r="T84" s="7">
        <v>100</v>
      </c>
      <c r="U84" s="7">
        <v>100</v>
      </c>
      <c r="V84" s="7">
        <v>100</v>
      </c>
    </row>
    <row r="85" spans="1:22" x14ac:dyDescent="0.3">
      <c r="A85" s="5">
        <v>897093</v>
      </c>
      <c r="B85" s="5" t="s">
        <v>253</v>
      </c>
      <c r="C85" s="5" t="s">
        <v>254</v>
      </c>
      <c r="D85" s="5" t="s">
        <v>255</v>
      </c>
      <c r="E85" s="5" t="s">
        <v>256</v>
      </c>
      <c r="G85" s="19" t="b">
        <f t="shared" si="1"/>
        <v>1</v>
      </c>
      <c r="H85" s="19" t="b">
        <f>AND(J85&lt;&gt;"", T85&gt;75)</f>
        <v>0</v>
      </c>
      <c r="J85" s="6"/>
      <c r="Q85" s="6" t="s">
        <v>257</v>
      </c>
      <c r="R85" s="6" t="s">
        <v>254</v>
      </c>
      <c r="U85" s="7">
        <v>50</v>
      </c>
    </row>
    <row r="86" spans="1:22" x14ac:dyDescent="0.3">
      <c r="A86" s="5">
        <v>897094</v>
      </c>
      <c r="B86" s="5" t="s">
        <v>258</v>
      </c>
      <c r="C86" s="5" t="s">
        <v>240</v>
      </c>
      <c r="D86" s="5" t="s">
        <v>259</v>
      </c>
      <c r="E86" s="5" t="s">
        <v>260</v>
      </c>
      <c r="G86" s="19" t="b">
        <f t="shared" si="1"/>
        <v>1</v>
      </c>
      <c r="H86" s="19" t="b">
        <f>AND(J86&lt;&gt;"", T86&gt;75)</f>
        <v>0</v>
      </c>
      <c r="J86" s="6"/>
      <c r="Q86" s="6" t="s">
        <v>39</v>
      </c>
      <c r="R86" s="6" t="s">
        <v>240</v>
      </c>
      <c r="U86" s="7">
        <v>100</v>
      </c>
    </row>
    <row r="87" spans="1:22" hidden="1" x14ac:dyDescent="0.3">
      <c r="A87" s="5">
        <v>897095</v>
      </c>
      <c r="B87" s="5" t="s">
        <v>261</v>
      </c>
      <c r="C87" s="5" t="s">
        <v>262</v>
      </c>
      <c r="D87" s="5" t="s">
        <v>263</v>
      </c>
      <c r="E87" s="5" t="s">
        <v>264</v>
      </c>
      <c r="G87" s="19" t="b">
        <f t="shared" si="1"/>
        <v>1</v>
      </c>
      <c r="H87" s="19" t="b">
        <f>AND(J87&lt;&gt;"", T87&gt;75)</f>
        <v>1</v>
      </c>
      <c r="I87" s="6">
        <v>337544</v>
      </c>
      <c r="J87" s="11" t="s">
        <v>263</v>
      </c>
      <c r="K87" s="6" t="s">
        <v>265</v>
      </c>
      <c r="L87" s="13">
        <v>782856339762</v>
      </c>
      <c r="M87" s="6">
        <v>31162905</v>
      </c>
      <c r="N87" s="6" t="s">
        <v>264</v>
      </c>
      <c r="O87" s="6">
        <v>270305</v>
      </c>
      <c r="P87" s="6" t="s">
        <v>266</v>
      </c>
      <c r="Q87" s="6" t="s">
        <v>265</v>
      </c>
      <c r="R87" s="6" t="s">
        <v>262</v>
      </c>
      <c r="S87" s="8">
        <v>0.96280059778078197</v>
      </c>
      <c r="T87" s="7">
        <v>100</v>
      </c>
      <c r="U87" s="7">
        <v>100</v>
      </c>
      <c r="V87" s="7">
        <v>100</v>
      </c>
    </row>
    <row r="88" spans="1:22" x14ac:dyDescent="0.3">
      <c r="A88" s="5">
        <v>897096</v>
      </c>
      <c r="B88" s="5" t="s">
        <v>267</v>
      </c>
      <c r="C88" s="5" t="s">
        <v>254</v>
      </c>
      <c r="D88" s="5">
        <v>451</v>
      </c>
      <c r="E88" s="5" t="s">
        <v>268</v>
      </c>
      <c r="G88" s="19" t="b">
        <f t="shared" si="1"/>
        <v>1</v>
      </c>
      <c r="H88" s="19" t="b">
        <f>AND(J88&lt;&gt;"", T88&gt;75)</f>
        <v>0</v>
      </c>
      <c r="J88" s="6"/>
      <c r="Q88" s="6" t="s">
        <v>257</v>
      </c>
      <c r="R88" s="6" t="s">
        <v>254</v>
      </c>
      <c r="U88" s="7">
        <v>50</v>
      </c>
    </row>
    <row r="89" spans="1:22" x14ac:dyDescent="0.3">
      <c r="A89" s="5">
        <v>897097</v>
      </c>
      <c r="B89" s="5" t="s">
        <v>269</v>
      </c>
      <c r="C89" s="5" t="s">
        <v>270</v>
      </c>
      <c r="D89" s="5" t="s">
        <v>271</v>
      </c>
      <c r="E89" s="5" t="s">
        <v>272</v>
      </c>
      <c r="G89" s="19" t="b">
        <f t="shared" si="1"/>
        <v>1</v>
      </c>
      <c r="H89" s="19" t="b">
        <f>AND(J89&lt;&gt;"", T89&gt;75)</f>
        <v>0</v>
      </c>
      <c r="J89" s="6"/>
      <c r="Q89" s="6" t="s">
        <v>273</v>
      </c>
      <c r="R89" s="6" t="s">
        <v>270</v>
      </c>
      <c r="U89" s="7">
        <v>50</v>
      </c>
    </row>
    <row r="90" spans="1:22" x14ac:dyDescent="0.3">
      <c r="A90" s="5">
        <v>897098</v>
      </c>
      <c r="B90" s="5" t="s">
        <v>274</v>
      </c>
      <c r="C90" s="5" t="s">
        <v>240</v>
      </c>
      <c r="D90" s="5" t="s">
        <v>275</v>
      </c>
      <c r="E90" s="5" t="s">
        <v>38</v>
      </c>
      <c r="G90" s="19" t="b">
        <f t="shared" si="1"/>
        <v>1</v>
      </c>
      <c r="H90" s="19" t="b">
        <f>AND(J90&lt;&gt;"", T90&gt;75)</f>
        <v>0</v>
      </c>
      <c r="J90" s="6"/>
      <c r="Q90" s="6" t="s">
        <v>39</v>
      </c>
      <c r="R90" s="6" t="s">
        <v>240</v>
      </c>
      <c r="U90" s="7">
        <v>100</v>
      </c>
    </row>
    <row r="91" spans="1:22" hidden="1" x14ac:dyDescent="0.3">
      <c r="A91" s="5">
        <v>897099</v>
      </c>
      <c r="B91" s="5" t="s">
        <v>276</v>
      </c>
      <c r="C91" s="5" t="s">
        <v>277</v>
      </c>
      <c r="D91" s="5" t="s">
        <v>278</v>
      </c>
      <c r="E91" s="5" t="s">
        <v>279</v>
      </c>
      <c r="G91" s="19" t="b">
        <f t="shared" si="1"/>
        <v>1</v>
      </c>
      <c r="H91" s="19" t="b">
        <f>AND(J91&lt;&gt;"", T91&gt;75)</f>
        <v>1</v>
      </c>
      <c r="I91" s="6">
        <v>210681</v>
      </c>
      <c r="J91" s="11" t="s">
        <v>280</v>
      </c>
      <c r="K91" s="6" t="s">
        <v>281</v>
      </c>
      <c r="L91" s="13">
        <v>781002168652</v>
      </c>
      <c r="M91" s="6">
        <v>31161609</v>
      </c>
      <c r="O91" s="6">
        <v>209004</v>
      </c>
      <c r="P91" s="6" t="s">
        <v>282</v>
      </c>
      <c r="Q91" s="6" t="s">
        <v>281</v>
      </c>
      <c r="R91" s="6" t="s">
        <v>283</v>
      </c>
      <c r="S91" s="8">
        <v>0.97770651580581702</v>
      </c>
      <c r="T91" s="7">
        <v>100</v>
      </c>
      <c r="U91" s="7">
        <v>100</v>
      </c>
      <c r="V91" s="7">
        <v>100</v>
      </c>
    </row>
    <row r="92" spans="1:22" x14ac:dyDescent="0.3">
      <c r="A92" s="5">
        <v>897100</v>
      </c>
      <c r="B92" s="5" t="s">
        <v>284</v>
      </c>
      <c r="C92" s="5" t="s">
        <v>254</v>
      </c>
      <c r="D92" s="5" t="s">
        <v>285</v>
      </c>
      <c r="E92" s="5" t="s">
        <v>286</v>
      </c>
      <c r="G92" s="19" t="b">
        <f t="shared" si="1"/>
        <v>1</v>
      </c>
      <c r="H92" s="19" t="b">
        <f>AND(J92&lt;&gt;"", T92&gt;75)</f>
        <v>0</v>
      </c>
      <c r="J92" s="6"/>
      <c r="Q92" s="6" t="s">
        <v>257</v>
      </c>
      <c r="R92" s="6" t="s">
        <v>254</v>
      </c>
      <c r="U92" s="7">
        <v>100</v>
      </c>
    </row>
    <row r="93" spans="1:22" x14ac:dyDescent="0.3">
      <c r="A93" s="5">
        <v>897101</v>
      </c>
      <c r="B93" s="5" t="s">
        <v>287</v>
      </c>
      <c r="C93" s="5" t="s">
        <v>254</v>
      </c>
      <c r="D93" s="5" t="s">
        <v>288</v>
      </c>
      <c r="E93" s="5" t="s">
        <v>289</v>
      </c>
      <c r="G93" s="19" t="b">
        <f t="shared" si="1"/>
        <v>1</v>
      </c>
      <c r="H93" s="19" t="b">
        <f>AND(J93&lt;&gt;"", T93&gt;75)</f>
        <v>0</v>
      </c>
      <c r="J93" s="6"/>
      <c r="Q93" s="6" t="s">
        <v>257</v>
      </c>
      <c r="R93" s="6" t="s">
        <v>254</v>
      </c>
      <c r="U93" s="7">
        <v>50</v>
      </c>
    </row>
    <row r="94" spans="1:22" x14ac:dyDescent="0.3">
      <c r="A94" s="5">
        <v>897102</v>
      </c>
      <c r="B94" s="5" t="s">
        <v>290</v>
      </c>
      <c r="C94" s="5" t="s">
        <v>245</v>
      </c>
      <c r="D94" s="5">
        <v>1061</v>
      </c>
      <c r="E94" s="5" t="s">
        <v>291</v>
      </c>
      <c r="G94" s="19" t="b">
        <f t="shared" si="1"/>
        <v>1</v>
      </c>
      <c r="H94" s="19" t="b">
        <f>AND(J94&lt;&gt;"", T94&gt;75)</f>
        <v>0</v>
      </c>
      <c r="J94" s="6"/>
      <c r="Q94" s="6" t="s">
        <v>247</v>
      </c>
      <c r="R94" s="6" t="s">
        <v>245</v>
      </c>
      <c r="U94" s="7">
        <v>100</v>
      </c>
    </row>
    <row r="95" spans="1:22" hidden="1" x14ac:dyDescent="0.3">
      <c r="A95" s="5">
        <v>897103</v>
      </c>
      <c r="B95" s="5" t="s">
        <v>292</v>
      </c>
      <c r="C95" s="5" t="s">
        <v>245</v>
      </c>
      <c r="D95" s="5" t="s">
        <v>293</v>
      </c>
      <c r="E95" s="5" t="s">
        <v>294</v>
      </c>
      <c r="G95" s="19" t="b">
        <f t="shared" si="1"/>
        <v>1</v>
      </c>
      <c r="H95" s="19" t="b">
        <f>AND(J95&lt;&gt;"", T95&gt;75)</f>
        <v>1</v>
      </c>
      <c r="I95" s="6">
        <v>335940</v>
      </c>
      <c r="J95" s="11" t="s">
        <v>295</v>
      </c>
      <c r="K95" s="6" t="s">
        <v>247</v>
      </c>
      <c r="L95" s="13">
        <v>781747154071</v>
      </c>
      <c r="M95" s="6">
        <v>39131700</v>
      </c>
      <c r="N95" s="6" t="s">
        <v>294</v>
      </c>
      <c r="O95" s="6">
        <v>270608</v>
      </c>
      <c r="P95" s="6" t="s">
        <v>296</v>
      </c>
      <c r="Q95" s="6" t="s">
        <v>247</v>
      </c>
      <c r="R95" s="6" t="s">
        <v>245</v>
      </c>
      <c r="S95" s="8">
        <v>0.97084676744333998</v>
      </c>
      <c r="T95" s="7">
        <v>100</v>
      </c>
      <c r="U95" s="7">
        <v>100</v>
      </c>
      <c r="V95" s="7">
        <v>100</v>
      </c>
    </row>
    <row r="96" spans="1:22" x14ac:dyDescent="0.3">
      <c r="A96" s="5">
        <v>897104</v>
      </c>
      <c r="B96" s="5" t="s">
        <v>297</v>
      </c>
      <c r="C96" s="5" t="s">
        <v>249</v>
      </c>
      <c r="D96" s="5" t="s">
        <v>298</v>
      </c>
      <c r="G96" s="19" t="b">
        <f t="shared" si="1"/>
        <v>1</v>
      </c>
      <c r="H96" s="19" t="b">
        <f>AND(J96&lt;&gt;"", T96&gt;75)</f>
        <v>0</v>
      </c>
      <c r="J96" s="6"/>
      <c r="Q96" s="6" t="s">
        <v>42</v>
      </c>
      <c r="R96" s="6" t="s">
        <v>249</v>
      </c>
      <c r="U96" s="7">
        <v>100</v>
      </c>
    </row>
    <row r="97" spans="1:22" x14ac:dyDescent="0.3">
      <c r="A97" s="5">
        <v>897105</v>
      </c>
      <c r="B97" s="5" t="s">
        <v>297</v>
      </c>
      <c r="C97" s="5" t="s">
        <v>249</v>
      </c>
      <c r="D97" s="5" t="s">
        <v>298</v>
      </c>
      <c r="G97" s="19" t="b">
        <f t="shared" si="1"/>
        <v>1</v>
      </c>
      <c r="H97" s="19" t="b">
        <f>AND(J97&lt;&gt;"", T97&gt;75)</f>
        <v>0</v>
      </c>
      <c r="J97" s="6"/>
      <c r="Q97" s="6" t="s">
        <v>42</v>
      </c>
      <c r="R97" s="6" t="s">
        <v>249</v>
      </c>
      <c r="U97" s="7">
        <v>100</v>
      </c>
    </row>
    <row r="98" spans="1:22" hidden="1" x14ac:dyDescent="0.3">
      <c r="A98" s="5">
        <v>897106</v>
      </c>
      <c r="B98" s="5" t="s">
        <v>299</v>
      </c>
      <c r="C98" s="5" t="s">
        <v>300</v>
      </c>
      <c r="D98" s="5" t="s">
        <v>301</v>
      </c>
      <c r="E98" s="5" t="s">
        <v>302</v>
      </c>
      <c r="G98" s="19" t="b">
        <f t="shared" si="1"/>
        <v>1</v>
      </c>
      <c r="H98" s="19" t="b">
        <f>AND(J98&lt;&gt;"", T98&gt;75)</f>
        <v>1</v>
      </c>
      <c r="I98" s="6">
        <v>339164</v>
      </c>
      <c r="J98" s="11" t="s">
        <v>301</v>
      </c>
      <c r="K98" s="6" t="s">
        <v>303</v>
      </c>
      <c r="L98" s="13">
        <v>783510423803</v>
      </c>
      <c r="M98" s="6">
        <v>39121303</v>
      </c>
      <c r="N98" s="6" t="s">
        <v>302</v>
      </c>
      <c r="O98" s="6">
        <v>271308</v>
      </c>
      <c r="P98" s="6" t="s">
        <v>304</v>
      </c>
      <c r="Q98" s="6" t="s">
        <v>303</v>
      </c>
      <c r="R98" s="6" t="s">
        <v>300</v>
      </c>
      <c r="S98" s="8">
        <v>0.9873674534704</v>
      </c>
      <c r="T98" s="7">
        <v>100</v>
      </c>
      <c r="U98" s="7">
        <v>100</v>
      </c>
      <c r="V98" s="7">
        <v>100</v>
      </c>
    </row>
    <row r="99" spans="1:22" x14ac:dyDescent="0.3">
      <c r="A99" s="5">
        <v>897107</v>
      </c>
      <c r="B99" s="5" t="s">
        <v>274</v>
      </c>
      <c r="C99" s="5" t="s">
        <v>240</v>
      </c>
      <c r="D99" s="5" t="s">
        <v>275</v>
      </c>
      <c r="E99" s="5" t="s">
        <v>38</v>
      </c>
      <c r="G99" s="19" t="b">
        <f t="shared" si="1"/>
        <v>1</v>
      </c>
      <c r="H99" s="19" t="b">
        <f>AND(J99&lt;&gt;"", T99&gt;75)</f>
        <v>0</v>
      </c>
      <c r="J99" s="6"/>
      <c r="Q99" s="6" t="s">
        <v>39</v>
      </c>
      <c r="R99" s="6" t="s">
        <v>240</v>
      </c>
      <c r="U99" s="7">
        <v>100</v>
      </c>
    </row>
    <row r="100" spans="1:22" hidden="1" x14ac:dyDescent="0.3">
      <c r="A100" s="5">
        <v>897108</v>
      </c>
      <c r="B100" s="5" t="s">
        <v>305</v>
      </c>
      <c r="C100" s="5" t="s">
        <v>254</v>
      </c>
      <c r="D100" s="5" t="s">
        <v>306</v>
      </c>
      <c r="E100" s="5" t="s">
        <v>307</v>
      </c>
      <c r="G100" s="19" t="b">
        <f t="shared" si="1"/>
        <v>0</v>
      </c>
      <c r="H100" s="19" t="b">
        <f>AND(J100&lt;&gt;"", T100&gt;75)</f>
        <v>0</v>
      </c>
      <c r="I100" s="6">
        <v>336547</v>
      </c>
      <c r="J100" s="6" t="s">
        <v>306</v>
      </c>
      <c r="K100" s="6" t="s">
        <v>308</v>
      </c>
      <c r="L100" s="13">
        <v>784564004574</v>
      </c>
      <c r="M100" s="6">
        <v>39121434</v>
      </c>
      <c r="N100" s="6" t="s">
        <v>307</v>
      </c>
      <c r="O100" s="6">
        <v>255264</v>
      </c>
      <c r="P100" s="6" t="s">
        <v>309</v>
      </c>
      <c r="Q100" s="6" t="s">
        <v>308</v>
      </c>
      <c r="S100" s="8">
        <v>0.96559046939919202</v>
      </c>
      <c r="T100" s="8">
        <v>70.779523469959599</v>
      </c>
      <c r="U100" s="8">
        <v>22.779523469959599</v>
      </c>
      <c r="V100" s="8">
        <v>95.118093879838398</v>
      </c>
    </row>
    <row r="101" spans="1:22" hidden="1" x14ac:dyDescent="0.3">
      <c r="A101" s="5">
        <v>897109</v>
      </c>
      <c r="B101" s="5" t="s">
        <v>310</v>
      </c>
      <c r="C101" s="5" t="s">
        <v>254</v>
      </c>
      <c r="D101" s="5" t="s">
        <v>311</v>
      </c>
      <c r="E101" s="5" t="s">
        <v>312</v>
      </c>
      <c r="G101" s="19" t="b">
        <f t="shared" si="1"/>
        <v>0</v>
      </c>
      <c r="H101" s="19" t="b">
        <f>AND(J101&lt;&gt;"", T101&gt;75)</f>
        <v>0</v>
      </c>
      <c r="I101" s="6">
        <v>335783</v>
      </c>
      <c r="J101" s="6" t="s">
        <v>311</v>
      </c>
      <c r="K101" s="6" t="s">
        <v>308</v>
      </c>
      <c r="L101" s="13">
        <v>784564004475</v>
      </c>
      <c r="M101" s="6">
        <v>39131700</v>
      </c>
      <c r="N101" s="6" t="s">
        <v>312</v>
      </c>
      <c r="O101" s="6">
        <v>255292</v>
      </c>
      <c r="P101" s="6" t="s">
        <v>313</v>
      </c>
      <c r="Q101" s="6" t="s">
        <v>308</v>
      </c>
      <c r="S101" s="8">
        <v>0.96495198315142205</v>
      </c>
      <c r="T101" s="8">
        <v>65.747599157571102</v>
      </c>
      <c r="U101" s="8">
        <v>19.747599157571099</v>
      </c>
      <c r="V101" s="7">
        <v>91.990396630284494</v>
      </c>
    </row>
    <row r="102" spans="1:22" x14ac:dyDescent="0.3">
      <c r="A102" s="5">
        <v>897110</v>
      </c>
      <c r="B102" s="5" t="s">
        <v>314</v>
      </c>
      <c r="C102" s="5" t="s">
        <v>270</v>
      </c>
      <c r="D102" s="5" t="s">
        <v>315</v>
      </c>
      <c r="E102" s="5" t="s">
        <v>316</v>
      </c>
      <c r="G102" s="19" t="b">
        <f t="shared" si="1"/>
        <v>1</v>
      </c>
      <c r="H102" s="19" t="b">
        <f>AND(J102&lt;&gt;"", T102&gt;75)</f>
        <v>0</v>
      </c>
      <c r="J102" s="6"/>
      <c r="Q102" s="6" t="s">
        <v>273</v>
      </c>
      <c r="R102" s="6" t="s">
        <v>270</v>
      </c>
      <c r="U102" s="7">
        <v>100</v>
      </c>
    </row>
    <row r="103" spans="1:22" x14ac:dyDescent="0.3">
      <c r="A103" s="5">
        <v>897111</v>
      </c>
      <c r="B103" s="5" t="s">
        <v>317</v>
      </c>
      <c r="C103" s="5" t="s">
        <v>270</v>
      </c>
      <c r="D103" s="5" t="s">
        <v>318</v>
      </c>
      <c r="E103" s="5" t="s">
        <v>319</v>
      </c>
      <c r="G103" s="19" t="b">
        <f t="shared" si="1"/>
        <v>1</v>
      </c>
      <c r="H103" s="19" t="b">
        <f>AND(J103&lt;&gt;"", T103&gt;75)</f>
        <v>0</v>
      </c>
      <c r="J103" s="6"/>
      <c r="Q103" s="6" t="s">
        <v>273</v>
      </c>
      <c r="R103" s="6" t="s">
        <v>270</v>
      </c>
      <c r="U103" s="7">
        <v>100</v>
      </c>
    </row>
    <row r="104" spans="1:22" x14ac:dyDescent="0.3">
      <c r="A104" s="5">
        <v>897112</v>
      </c>
      <c r="B104" s="5" t="s">
        <v>269</v>
      </c>
      <c r="C104" s="5" t="s">
        <v>270</v>
      </c>
      <c r="D104" s="5" t="s">
        <v>271</v>
      </c>
      <c r="E104" s="5" t="s">
        <v>272</v>
      </c>
      <c r="G104" s="19" t="b">
        <f t="shared" si="1"/>
        <v>1</v>
      </c>
      <c r="H104" s="19" t="b">
        <f>AND(J104&lt;&gt;"", T104&gt;75)</f>
        <v>0</v>
      </c>
      <c r="J104" s="6"/>
      <c r="Q104" s="6" t="s">
        <v>273</v>
      </c>
      <c r="R104" s="6" t="s">
        <v>270</v>
      </c>
      <c r="U104" s="7">
        <v>50</v>
      </c>
    </row>
    <row r="105" spans="1:22" x14ac:dyDescent="0.3">
      <c r="A105" s="5">
        <v>897113</v>
      </c>
      <c r="B105" s="5" t="s">
        <v>320</v>
      </c>
      <c r="C105" s="5" t="s">
        <v>240</v>
      </c>
      <c r="D105" s="5" t="s">
        <v>321</v>
      </c>
      <c r="E105" s="5" t="s">
        <v>322</v>
      </c>
      <c r="G105" s="19" t="b">
        <f t="shared" si="1"/>
        <v>1</v>
      </c>
      <c r="H105" s="19" t="b">
        <f>AND(J105&lt;&gt;"", T105&gt;75)</f>
        <v>0</v>
      </c>
      <c r="J105" s="6"/>
      <c r="Q105" s="6" t="s">
        <v>39</v>
      </c>
      <c r="R105" s="6" t="s">
        <v>240</v>
      </c>
      <c r="U105" s="7">
        <v>100</v>
      </c>
    </row>
    <row r="106" spans="1:22" hidden="1" x14ac:dyDescent="0.3">
      <c r="A106" s="5">
        <v>897114</v>
      </c>
      <c r="B106" s="5" t="s">
        <v>323</v>
      </c>
      <c r="C106" s="5" t="s">
        <v>254</v>
      </c>
      <c r="D106" s="5" t="s">
        <v>324</v>
      </c>
      <c r="E106" s="5" t="s">
        <v>325</v>
      </c>
      <c r="G106" s="19" t="b">
        <f t="shared" si="1"/>
        <v>0</v>
      </c>
      <c r="H106" s="19" t="b">
        <f>AND(J106&lt;&gt;"", T106&gt;75)</f>
        <v>0</v>
      </c>
      <c r="I106" s="6">
        <v>95494</v>
      </c>
      <c r="J106" s="6" t="s">
        <v>324</v>
      </c>
      <c r="K106" s="6" t="s">
        <v>326</v>
      </c>
      <c r="L106" s="13">
        <v>784297323218</v>
      </c>
      <c r="M106" s="6">
        <v>39131708</v>
      </c>
      <c r="O106" s="6">
        <v>16461</v>
      </c>
      <c r="P106" s="6" t="s">
        <v>327</v>
      </c>
      <c r="Q106" s="6" t="s">
        <v>326</v>
      </c>
      <c r="S106" s="8">
        <v>0.52103753618068605</v>
      </c>
      <c r="T106" s="8">
        <v>48.551876809034297</v>
      </c>
      <c r="U106" s="8">
        <v>24.551876809034301</v>
      </c>
      <c r="V106" s="8">
        <v>10.2075072361373</v>
      </c>
    </row>
    <row r="107" spans="1:22" x14ac:dyDescent="0.3">
      <c r="A107" s="5">
        <v>897115</v>
      </c>
      <c r="B107" s="5" t="s">
        <v>328</v>
      </c>
      <c r="C107" s="5" t="s">
        <v>254</v>
      </c>
      <c r="D107" s="5" t="s">
        <v>329</v>
      </c>
      <c r="E107" s="5" t="s">
        <v>330</v>
      </c>
      <c r="G107" s="19" t="b">
        <f t="shared" si="1"/>
        <v>1</v>
      </c>
      <c r="H107" s="19" t="b">
        <f>AND(J107&lt;&gt;"", T107&gt;75)</f>
        <v>0</v>
      </c>
      <c r="J107" s="6"/>
      <c r="Q107" s="6" t="s">
        <v>257</v>
      </c>
      <c r="R107" s="6" t="s">
        <v>254</v>
      </c>
      <c r="U107" s="7">
        <v>100</v>
      </c>
    </row>
    <row r="108" spans="1:22" x14ac:dyDescent="0.3">
      <c r="A108" s="5">
        <v>897117</v>
      </c>
      <c r="B108" s="5" t="s">
        <v>331</v>
      </c>
      <c r="C108" s="5" t="s">
        <v>332</v>
      </c>
      <c r="D108" s="5" t="s">
        <v>333</v>
      </c>
      <c r="G108" s="19" t="b">
        <f t="shared" si="1"/>
        <v>1</v>
      </c>
      <c r="H108" s="19" t="b">
        <f>AND(J108&lt;&gt;"", T108&gt;75)</f>
        <v>0</v>
      </c>
      <c r="J108" s="6"/>
      <c r="Q108" s="6" t="s">
        <v>273</v>
      </c>
      <c r="R108" s="6" t="s">
        <v>334</v>
      </c>
      <c r="U108" s="7">
        <v>100</v>
      </c>
    </row>
    <row r="109" spans="1:22" x14ac:dyDescent="0.3">
      <c r="A109" s="5">
        <v>897119</v>
      </c>
      <c r="B109" s="5" t="s">
        <v>335</v>
      </c>
      <c r="C109" s="5" t="s">
        <v>336</v>
      </c>
      <c r="D109" s="5" t="s">
        <v>337</v>
      </c>
      <c r="G109" s="19" t="b">
        <f t="shared" si="1"/>
        <v>1</v>
      </c>
      <c r="H109" s="19" t="b">
        <f>AND(J109&lt;&gt;"", T109&gt;75)</f>
        <v>0</v>
      </c>
      <c r="J109" s="6"/>
      <c r="Q109" s="6" t="s">
        <v>42</v>
      </c>
      <c r="R109" s="6" t="s">
        <v>249</v>
      </c>
      <c r="U109" s="7">
        <v>100</v>
      </c>
    </row>
    <row r="110" spans="1:22" hidden="1" x14ac:dyDescent="0.3">
      <c r="A110" s="5">
        <v>897120</v>
      </c>
      <c r="B110" s="5" t="s">
        <v>338</v>
      </c>
      <c r="C110" s="5" t="s">
        <v>249</v>
      </c>
      <c r="D110" s="5" t="s">
        <v>339</v>
      </c>
      <c r="G110" s="19" t="b">
        <f t="shared" si="1"/>
        <v>1</v>
      </c>
      <c r="H110" s="19" t="b">
        <f>AND(J110&lt;&gt;"", T110&gt;75)</f>
        <v>1</v>
      </c>
      <c r="I110" s="6">
        <v>337122</v>
      </c>
      <c r="J110" s="11" t="s">
        <v>340</v>
      </c>
      <c r="K110" s="6" t="s">
        <v>112</v>
      </c>
      <c r="L110" s="13">
        <v>781011552831</v>
      </c>
      <c r="M110" s="6">
        <v>31162905</v>
      </c>
      <c r="N110" s="6" t="s">
        <v>341</v>
      </c>
      <c r="O110" s="6">
        <v>269099</v>
      </c>
      <c r="P110" s="6" t="s">
        <v>342</v>
      </c>
      <c r="Q110" s="6" t="s">
        <v>42</v>
      </c>
      <c r="R110" s="6" t="s">
        <v>249</v>
      </c>
      <c r="S110" s="7">
        <v>0.86948636809850199</v>
      </c>
      <c r="T110" s="7">
        <v>100</v>
      </c>
      <c r="U110" s="7">
        <v>100</v>
      </c>
      <c r="V110" s="7">
        <v>100</v>
      </c>
    </row>
    <row r="111" spans="1:22" hidden="1" x14ac:dyDescent="0.3">
      <c r="A111" s="5">
        <v>897121</v>
      </c>
      <c r="B111" s="5" t="s">
        <v>343</v>
      </c>
      <c r="C111" s="5" t="s">
        <v>249</v>
      </c>
      <c r="D111" s="5" t="s">
        <v>111</v>
      </c>
      <c r="G111" s="19" t="b">
        <f t="shared" si="1"/>
        <v>1</v>
      </c>
      <c r="H111" s="19" t="b">
        <f>AND(J111&lt;&gt;"", T111&gt;75)</f>
        <v>1</v>
      </c>
      <c r="I111" s="6">
        <v>335848</v>
      </c>
      <c r="J111" s="11" t="s">
        <v>111</v>
      </c>
      <c r="K111" s="6" t="s">
        <v>112</v>
      </c>
      <c r="L111" s="13">
        <v>781011515935</v>
      </c>
      <c r="M111" s="6">
        <v>30101800</v>
      </c>
      <c r="N111" s="6" t="s">
        <v>110</v>
      </c>
      <c r="O111" s="6">
        <v>269122</v>
      </c>
      <c r="P111" s="6" t="s">
        <v>344</v>
      </c>
      <c r="Q111" s="6" t="s">
        <v>42</v>
      </c>
      <c r="R111" s="6" t="s">
        <v>249</v>
      </c>
      <c r="S111" s="7">
        <v>0.94967035546732403</v>
      </c>
      <c r="T111" s="7">
        <v>100</v>
      </c>
      <c r="U111" s="7">
        <v>100</v>
      </c>
      <c r="V111" s="7">
        <v>100</v>
      </c>
    </row>
    <row r="112" spans="1:22" hidden="1" x14ac:dyDescent="0.3">
      <c r="A112" s="5">
        <v>897122</v>
      </c>
      <c r="B112" s="5" t="s">
        <v>345</v>
      </c>
      <c r="C112" s="5" t="s">
        <v>249</v>
      </c>
      <c r="D112" s="5" t="s">
        <v>346</v>
      </c>
      <c r="G112" s="19" t="b">
        <f t="shared" si="1"/>
        <v>1</v>
      </c>
      <c r="H112" s="19" t="b">
        <f>AND(J112&lt;&gt;"", T112&gt;75)</f>
        <v>1</v>
      </c>
      <c r="I112" s="6">
        <v>335702</v>
      </c>
      <c r="J112" s="11" t="s">
        <v>346</v>
      </c>
      <c r="K112" s="6" t="s">
        <v>112</v>
      </c>
      <c r="L112" s="13">
        <v>781011403430</v>
      </c>
      <c r="M112" s="6">
        <v>31161708</v>
      </c>
      <c r="N112" s="6" t="s">
        <v>347</v>
      </c>
      <c r="O112" s="6">
        <v>269988</v>
      </c>
      <c r="P112" s="6" t="s">
        <v>348</v>
      </c>
      <c r="Q112" s="6" t="s">
        <v>42</v>
      </c>
      <c r="R112" s="6" t="s">
        <v>249</v>
      </c>
      <c r="S112" s="8">
        <v>0.91703449215462496</v>
      </c>
      <c r="T112" s="7">
        <v>100</v>
      </c>
      <c r="U112" s="7">
        <v>100</v>
      </c>
      <c r="V112" s="7">
        <v>100</v>
      </c>
    </row>
    <row r="113" spans="1:22" hidden="1" x14ac:dyDescent="0.3">
      <c r="A113" s="5">
        <v>897123</v>
      </c>
      <c r="B113" s="5" t="s">
        <v>349</v>
      </c>
      <c r="C113" s="5" t="s">
        <v>350</v>
      </c>
      <c r="D113" s="5" t="s">
        <v>351</v>
      </c>
      <c r="E113" s="5" t="s">
        <v>352</v>
      </c>
      <c r="G113" s="19" t="b">
        <f t="shared" si="1"/>
        <v>0</v>
      </c>
      <c r="H113" s="19" t="b">
        <f>AND(J113&lt;&gt;"", T113&gt;75)</f>
        <v>0</v>
      </c>
      <c r="I113" s="6">
        <v>324326</v>
      </c>
      <c r="J113" s="6">
        <v>58025205</v>
      </c>
      <c r="K113" s="6" t="s">
        <v>326</v>
      </c>
      <c r="L113" s="14" t="s">
        <v>353</v>
      </c>
      <c r="M113" s="6">
        <v>26121614</v>
      </c>
      <c r="O113" s="6">
        <v>88599</v>
      </c>
      <c r="P113" s="6" t="s">
        <v>354</v>
      </c>
      <c r="Q113" s="6" t="s">
        <v>326</v>
      </c>
      <c r="S113" s="8">
        <v>0.71679316712693797</v>
      </c>
      <c r="T113" s="8">
        <v>73.339658356346902</v>
      </c>
      <c r="U113" s="8">
        <v>43.339658356346902</v>
      </c>
      <c r="V113" s="8">
        <v>58.358633425387602</v>
      </c>
    </row>
    <row r="114" spans="1:22" hidden="1" x14ac:dyDescent="0.3">
      <c r="A114" s="5">
        <v>897124</v>
      </c>
      <c r="B114" s="5" t="s">
        <v>355</v>
      </c>
      <c r="C114" s="5" t="s">
        <v>356</v>
      </c>
      <c r="D114" s="5" t="s">
        <v>357</v>
      </c>
      <c r="E114" s="5" t="s">
        <v>358</v>
      </c>
      <c r="G114" s="19" t="b">
        <f t="shared" si="1"/>
        <v>0</v>
      </c>
      <c r="H114" s="19" t="b">
        <f>AND(J114&lt;&gt;"", T114&gt;75)</f>
        <v>0</v>
      </c>
      <c r="I114" s="6">
        <v>339261</v>
      </c>
      <c r="J114" s="6" t="s">
        <v>357</v>
      </c>
      <c r="K114" s="6" t="s">
        <v>359</v>
      </c>
      <c r="L114" s="13">
        <v>783585235929</v>
      </c>
      <c r="M114" s="6">
        <v>39121406</v>
      </c>
      <c r="N114" s="6" t="s">
        <v>358</v>
      </c>
      <c r="O114" s="6">
        <v>260178</v>
      </c>
      <c r="P114" s="6" t="s">
        <v>360</v>
      </c>
      <c r="Q114" s="6" t="s">
        <v>359</v>
      </c>
      <c r="S114" s="8">
        <v>0.95166161898418999</v>
      </c>
      <c r="T114" s="8">
        <v>22.382150964499601</v>
      </c>
      <c r="U114" s="8">
        <v>77.541540474604702</v>
      </c>
      <c r="V114" s="7">
        <v>100</v>
      </c>
    </row>
    <row r="115" spans="1:22" hidden="1" x14ac:dyDescent="0.3">
      <c r="A115" s="5">
        <v>897125</v>
      </c>
      <c r="B115" s="5" t="s">
        <v>361</v>
      </c>
      <c r="C115" s="5" t="s">
        <v>356</v>
      </c>
      <c r="D115" s="5" t="s">
        <v>362</v>
      </c>
      <c r="E115" s="5" t="s">
        <v>363</v>
      </c>
      <c r="G115" s="19" t="b">
        <f t="shared" si="1"/>
        <v>0</v>
      </c>
      <c r="H115" s="19" t="b">
        <f>AND(J115&lt;&gt;"", T115&gt;75)</f>
        <v>0</v>
      </c>
      <c r="I115" s="6">
        <v>338911</v>
      </c>
      <c r="J115" s="6" t="s">
        <v>362</v>
      </c>
      <c r="K115" s="6" t="s">
        <v>359</v>
      </c>
      <c r="L115" s="13">
        <v>783585235998</v>
      </c>
      <c r="M115" s="6">
        <v>39121406</v>
      </c>
      <c r="N115" s="6" t="s">
        <v>363</v>
      </c>
      <c r="O115" s="6">
        <v>260179</v>
      </c>
      <c r="P115" s="6" t="s">
        <v>364</v>
      </c>
      <c r="Q115" s="6" t="s">
        <v>359</v>
      </c>
      <c r="S115" s="8">
        <v>0.96227590553186604</v>
      </c>
      <c r="T115" s="8">
        <v>20.877955387628301</v>
      </c>
      <c r="U115" s="8">
        <v>77.806897638296604</v>
      </c>
      <c r="V115" s="7">
        <v>100</v>
      </c>
    </row>
    <row r="116" spans="1:22" hidden="1" x14ac:dyDescent="0.3">
      <c r="A116" s="5">
        <v>897126</v>
      </c>
      <c r="B116" s="5" t="s">
        <v>365</v>
      </c>
      <c r="C116" s="5" t="s">
        <v>249</v>
      </c>
      <c r="D116" s="5" t="s">
        <v>366</v>
      </c>
      <c r="G116" s="19" t="b">
        <f t="shared" si="1"/>
        <v>1</v>
      </c>
      <c r="H116" s="19" t="b">
        <f>AND(J116&lt;&gt;"", T116&gt;75)</f>
        <v>1</v>
      </c>
      <c r="I116" s="6">
        <v>335855</v>
      </c>
      <c r="J116" s="11" t="s">
        <v>366</v>
      </c>
      <c r="K116" s="6" t="s">
        <v>112</v>
      </c>
      <c r="L116" s="13">
        <v>781011520137</v>
      </c>
      <c r="M116" s="6">
        <v>31161812</v>
      </c>
      <c r="N116" s="6" t="s">
        <v>367</v>
      </c>
      <c r="O116" s="6">
        <v>271508</v>
      </c>
      <c r="P116" s="6" t="s">
        <v>368</v>
      </c>
      <c r="Q116" s="6" t="s">
        <v>42</v>
      </c>
      <c r="R116" s="6" t="s">
        <v>249</v>
      </c>
      <c r="S116" s="8">
        <v>0.90918289944712904</v>
      </c>
      <c r="T116" s="7">
        <v>100</v>
      </c>
      <c r="U116" s="7">
        <v>100</v>
      </c>
      <c r="V116" s="7">
        <v>100</v>
      </c>
    </row>
    <row r="117" spans="1:22" x14ac:dyDescent="0.3">
      <c r="A117" s="5">
        <v>897127</v>
      </c>
      <c r="B117" s="5" t="s">
        <v>369</v>
      </c>
      <c r="C117" s="5" t="s">
        <v>370</v>
      </c>
      <c r="D117" s="5" t="s">
        <v>371</v>
      </c>
      <c r="G117" s="19" t="b">
        <f t="shared" si="1"/>
        <v>1</v>
      </c>
      <c r="H117" s="19" t="b">
        <f>AND(J117&lt;&gt;"", T117&gt;75)</f>
        <v>0</v>
      </c>
      <c r="J117" s="6"/>
      <c r="Q117" s="6" t="s">
        <v>281</v>
      </c>
      <c r="R117" s="6" t="s">
        <v>370</v>
      </c>
      <c r="U117" s="7">
        <v>100</v>
      </c>
    </row>
    <row r="118" spans="1:22" hidden="1" x14ac:dyDescent="0.3">
      <c r="A118" s="5">
        <v>897128</v>
      </c>
      <c r="B118" s="5" t="s">
        <v>372</v>
      </c>
      <c r="C118" s="5" t="s">
        <v>373</v>
      </c>
      <c r="D118" s="5" t="s">
        <v>374</v>
      </c>
      <c r="E118" s="5" t="s">
        <v>375</v>
      </c>
      <c r="G118" s="19" t="b">
        <f t="shared" si="1"/>
        <v>1</v>
      </c>
      <c r="H118" s="19" t="b">
        <f>AND(J118&lt;&gt;"", T118&gt;75)</f>
        <v>1</v>
      </c>
      <c r="I118" s="6">
        <v>337427</v>
      </c>
      <c r="J118" s="11" t="s">
        <v>374</v>
      </c>
      <c r="K118" s="6" t="s">
        <v>376</v>
      </c>
      <c r="L118" s="13">
        <v>781810220979</v>
      </c>
      <c r="M118" s="6">
        <v>39121613</v>
      </c>
      <c r="N118" s="6" t="s">
        <v>375</v>
      </c>
      <c r="O118" s="6">
        <v>272895</v>
      </c>
      <c r="P118" s="6" t="s">
        <v>377</v>
      </c>
      <c r="Q118" s="6" t="s">
        <v>376</v>
      </c>
      <c r="R118" s="6" t="s">
        <v>373</v>
      </c>
      <c r="S118" s="8">
        <v>0.94935581212934605</v>
      </c>
      <c r="T118" s="7">
        <v>100</v>
      </c>
      <c r="U118" s="7">
        <v>93.967790606467304</v>
      </c>
      <c r="V118" s="7">
        <v>100</v>
      </c>
    </row>
    <row r="119" spans="1:22" hidden="1" x14ac:dyDescent="0.3">
      <c r="A119" s="5">
        <v>897129</v>
      </c>
      <c r="B119" s="5" t="s">
        <v>378</v>
      </c>
      <c r="C119" s="5" t="s">
        <v>379</v>
      </c>
      <c r="D119" s="5" t="s">
        <v>380</v>
      </c>
      <c r="E119" s="5" t="s">
        <v>381</v>
      </c>
      <c r="G119" s="19" t="b">
        <f t="shared" si="1"/>
        <v>1</v>
      </c>
      <c r="H119" s="19" t="b">
        <f>AND(J119&lt;&gt;"", T119&gt;75)</f>
        <v>1</v>
      </c>
      <c r="I119" s="6">
        <v>335824</v>
      </c>
      <c r="J119" s="11" t="s">
        <v>380</v>
      </c>
      <c r="K119" s="6" t="s">
        <v>379</v>
      </c>
      <c r="L119" s="14" t="s">
        <v>382</v>
      </c>
      <c r="M119" s="6">
        <v>39131700</v>
      </c>
      <c r="N119" s="6" t="s">
        <v>381</v>
      </c>
      <c r="O119" s="6">
        <v>272415</v>
      </c>
      <c r="P119" s="6" t="s">
        <v>383</v>
      </c>
      <c r="Q119" s="6" t="s">
        <v>379</v>
      </c>
      <c r="R119" s="6" t="s">
        <v>379</v>
      </c>
      <c r="S119" s="7">
        <v>0.88930159354542404</v>
      </c>
      <c r="T119" s="7">
        <v>100</v>
      </c>
      <c r="U119" s="7">
        <v>100</v>
      </c>
      <c r="V119" s="7">
        <v>100</v>
      </c>
    </row>
    <row r="120" spans="1:22" x14ac:dyDescent="0.3">
      <c r="A120" s="5">
        <v>897130</v>
      </c>
      <c r="B120" s="5" t="s">
        <v>384</v>
      </c>
      <c r="C120" s="5" t="s">
        <v>370</v>
      </c>
      <c r="D120" s="5" t="s">
        <v>385</v>
      </c>
      <c r="E120" s="5" t="s">
        <v>386</v>
      </c>
      <c r="G120" s="19" t="b">
        <f t="shared" si="1"/>
        <v>1</v>
      </c>
      <c r="H120" s="19" t="b">
        <f>AND(J120&lt;&gt;"", T120&gt;75)</f>
        <v>0</v>
      </c>
      <c r="J120" s="6"/>
      <c r="Q120" s="6" t="s">
        <v>281</v>
      </c>
      <c r="R120" s="6" t="s">
        <v>370</v>
      </c>
      <c r="U120" s="7">
        <v>100</v>
      </c>
    </row>
    <row r="121" spans="1:22" hidden="1" x14ac:dyDescent="0.3">
      <c r="A121" s="5">
        <v>897131</v>
      </c>
      <c r="B121" s="5" t="s">
        <v>387</v>
      </c>
      <c r="C121" s="5" t="s">
        <v>245</v>
      </c>
      <c r="D121" s="5" t="s">
        <v>388</v>
      </c>
      <c r="E121" s="5" t="s">
        <v>389</v>
      </c>
      <c r="G121" s="19" t="b">
        <f t="shared" si="1"/>
        <v>1</v>
      </c>
      <c r="H121" s="19" t="b">
        <f>AND(J121&lt;&gt;"", T121&gt;75)</f>
        <v>1</v>
      </c>
      <c r="I121" s="6">
        <v>335962</v>
      </c>
      <c r="J121" s="11" t="s">
        <v>390</v>
      </c>
      <c r="K121" s="6" t="s">
        <v>247</v>
      </c>
      <c r="L121" s="13">
        <v>781747158062</v>
      </c>
      <c r="M121" s="6">
        <v>39131700</v>
      </c>
      <c r="N121" s="6" t="s">
        <v>389</v>
      </c>
      <c r="O121" s="6">
        <v>270181</v>
      </c>
      <c r="P121" s="6" t="s">
        <v>391</v>
      </c>
      <c r="Q121" s="6" t="s">
        <v>247</v>
      </c>
      <c r="R121" s="6" t="s">
        <v>245</v>
      </c>
      <c r="S121" s="8">
        <v>0.96667085392058905</v>
      </c>
      <c r="T121" s="7">
        <v>100</v>
      </c>
      <c r="U121" s="7">
        <v>100</v>
      </c>
      <c r="V121" s="7">
        <v>100</v>
      </c>
    </row>
    <row r="122" spans="1:22" hidden="1" x14ac:dyDescent="0.3">
      <c r="A122" s="5">
        <v>897132</v>
      </c>
      <c r="B122" s="5" t="s">
        <v>392</v>
      </c>
      <c r="C122" s="5" t="s">
        <v>254</v>
      </c>
      <c r="D122" s="5" t="s">
        <v>393</v>
      </c>
      <c r="E122" s="5" t="s">
        <v>394</v>
      </c>
      <c r="G122" s="19" t="b">
        <f t="shared" si="1"/>
        <v>0</v>
      </c>
      <c r="H122" s="19" t="b">
        <f>AND(J122&lt;&gt;"", T122&gt;75)</f>
        <v>1</v>
      </c>
      <c r="I122" s="6">
        <v>336387</v>
      </c>
      <c r="J122" s="11" t="s">
        <v>393</v>
      </c>
      <c r="K122" s="6" t="s">
        <v>308</v>
      </c>
      <c r="L122" s="13">
        <v>786189105124</v>
      </c>
      <c r="M122" s="6">
        <v>39121304</v>
      </c>
      <c r="N122" s="6" t="s">
        <v>394</v>
      </c>
      <c r="O122" s="6">
        <v>255770</v>
      </c>
      <c r="P122" s="6" t="s">
        <v>395</v>
      </c>
      <c r="Q122" s="6" t="s">
        <v>308</v>
      </c>
      <c r="S122" s="8">
        <v>0.95428845788707795</v>
      </c>
      <c r="T122" s="8">
        <v>75.214422894353902</v>
      </c>
      <c r="U122" s="8">
        <v>49.214422894353902</v>
      </c>
      <c r="V122" s="8">
        <v>99.857691577415693</v>
      </c>
    </row>
    <row r="123" spans="1:22" x14ac:dyDescent="0.3">
      <c r="A123" s="5">
        <v>897133</v>
      </c>
      <c r="B123" s="5" t="s">
        <v>396</v>
      </c>
      <c r="C123" s="5" t="s">
        <v>397</v>
      </c>
      <c r="D123" s="5" t="s">
        <v>398</v>
      </c>
      <c r="E123" s="5" t="s">
        <v>399</v>
      </c>
      <c r="G123" s="19" t="b">
        <f t="shared" si="1"/>
        <v>1</v>
      </c>
      <c r="H123" s="19" t="b">
        <f>AND(J123&lt;&gt;"", T123&gt;75)</f>
        <v>0</v>
      </c>
      <c r="J123" s="6"/>
      <c r="Q123" s="6" t="s">
        <v>39</v>
      </c>
      <c r="R123" s="6" t="s">
        <v>240</v>
      </c>
      <c r="U123" s="7">
        <v>100</v>
      </c>
    </row>
    <row r="124" spans="1:22" hidden="1" x14ac:dyDescent="0.3">
      <c r="A124" s="5">
        <v>897134</v>
      </c>
      <c r="B124" s="5" t="s">
        <v>400</v>
      </c>
      <c r="C124" s="5" t="s">
        <v>401</v>
      </c>
      <c r="D124" s="5" t="s">
        <v>402</v>
      </c>
      <c r="E124" s="5" t="s">
        <v>403</v>
      </c>
      <c r="G124" s="19" t="b">
        <f t="shared" si="1"/>
        <v>1</v>
      </c>
      <c r="H124" s="19" t="b">
        <f>AND(J124&lt;&gt;"", T124&gt;75)</f>
        <v>1</v>
      </c>
      <c r="I124" s="6">
        <v>249853</v>
      </c>
      <c r="J124" s="11">
        <v>48284008</v>
      </c>
      <c r="K124" s="6" t="s">
        <v>134</v>
      </c>
      <c r="L124" s="14" t="s">
        <v>404</v>
      </c>
      <c r="M124" s="6">
        <v>27112800</v>
      </c>
      <c r="O124" s="6">
        <v>10288</v>
      </c>
      <c r="P124" s="6" t="s">
        <v>405</v>
      </c>
      <c r="Q124" s="6" t="s">
        <v>134</v>
      </c>
      <c r="R124" s="6" t="s">
        <v>401</v>
      </c>
      <c r="S124" s="7">
        <v>0.87189486099482105</v>
      </c>
      <c r="T124" s="7">
        <v>100</v>
      </c>
      <c r="U124" s="7">
        <v>100</v>
      </c>
      <c r="V124" s="7">
        <v>100</v>
      </c>
    </row>
    <row r="125" spans="1:22" x14ac:dyDescent="0.3">
      <c r="A125" s="5">
        <v>897135</v>
      </c>
      <c r="B125" s="5" t="s">
        <v>406</v>
      </c>
      <c r="C125" s="5" t="s">
        <v>254</v>
      </c>
      <c r="D125" s="5">
        <v>511</v>
      </c>
      <c r="E125" s="5" t="s">
        <v>407</v>
      </c>
      <c r="G125" s="19" t="b">
        <f t="shared" si="1"/>
        <v>1</v>
      </c>
      <c r="H125" s="19" t="b">
        <f>AND(J125&lt;&gt;"", T125&gt;75)</f>
        <v>0</v>
      </c>
      <c r="J125" s="6"/>
      <c r="Q125" s="6" t="s">
        <v>257</v>
      </c>
      <c r="R125" s="6" t="s">
        <v>254</v>
      </c>
      <c r="U125" s="7">
        <v>100</v>
      </c>
    </row>
    <row r="126" spans="1:22" hidden="1" x14ac:dyDescent="0.3">
      <c r="A126" s="5">
        <v>897136</v>
      </c>
      <c r="B126" s="5" t="s">
        <v>408</v>
      </c>
      <c r="C126" s="5" t="s">
        <v>409</v>
      </c>
      <c r="D126" s="5" t="s">
        <v>410</v>
      </c>
      <c r="E126" s="5" t="s">
        <v>411</v>
      </c>
      <c r="G126" s="19" t="b">
        <f t="shared" si="1"/>
        <v>1</v>
      </c>
      <c r="H126" s="19" t="b">
        <f>AND(J126&lt;&gt;"", T126&gt;75)</f>
        <v>1</v>
      </c>
      <c r="I126" s="6">
        <v>336131</v>
      </c>
      <c r="J126" s="11" t="s">
        <v>410</v>
      </c>
      <c r="K126" s="6" t="s">
        <v>412</v>
      </c>
      <c r="L126" s="14" t="s">
        <v>413</v>
      </c>
      <c r="M126" s="6">
        <v>39121304</v>
      </c>
      <c r="N126" s="6" t="s">
        <v>411</v>
      </c>
      <c r="O126" s="6">
        <v>269341</v>
      </c>
      <c r="P126" s="6" t="s">
        <v>414</v>
      </c>
      <c r="Q126" s="6" t="s">
        <v>412</v>
      </c>
      <c r="R126" s="6" t="s">
        <v>409</v>
      </c>
      <c r="S126" s="8">
        <v>0.95993591914220899</v>
      </c>
      <c r="T126" s="7">
        <v>100</v>
      </c>
      <c r="U126" s="8">
        <v>85.496795957110393</v>
      </c>
      <c r="V126" s="7">
        <v>100</v>
      </c>
    </row>
    <row r="127" spans="1:22" hidden="1" x14ac:dyDescent="0.3">
      <c r="A127" s="5">
        <v>897137</v>
      </c>
      <c r="B127" s="5" t="s">
        <v>415</v>
      </c>
      <c r="C127" s="5" t="s">
        <v>409</v>
      </c>
      <c r="D127" s="5" t="s">
        <v>416</v>
      </c>
      <c r="E127" s="5" t="s">
        <v>417</v>
      </c>
      <c r="G127" s="19" t="b">
        <f t="shared" si="1"/>
        <v>1</v>
      </c>
      <c r="H127" s="19" t="b">
        <f>AND(J127&lt;&gt;"", T127&gt;75)</f>
        <v>1</v>
      </c>
      <c r="I127" s="6">
        <v>339731</v>
      </c>
      <c r="J127" s="11" t="s">
        <v>416</v>
      </c>
      <c r="K127" s="6" t="s">
        <v>412</v>
      </c>
      <c r="L127" s="14" t="s">
        <v>418</v>
      </c>
      <c r="M127" s="6">
        <v>39121304</v>
      </c>
      <c r="N127" s="6" t="s">
        <v>417</v>
      </c>
      <c r="O127" s="6">
        <v>271995</v>
      </c>
      <c r="P127" s="6" t="s">
        <v>419</v>
      </c>
      <c r="Q127" s="6" t="s">
        <v>412</v>
      </c>
      <c r="R127" s="6" t="s">
        <v>409</v>
      </c>
      <c r="S127" s="7">
        <v>0.97296545578905502</v>
      </c>
      <c r="T127" s="7">
        <v>100</v>
      </c>
      <c r="U127" s="7">
        <v>100</v>
      </c>
      <c r="V127" s="7">
        <v>100</v>
      </c>
    </row>
    <row r="128" spans="1:22" x14ac:dyDescent="0.3">
      <c r="A128" s="5">
        <v>897138</v>
      </c>
      <c r="B128" s="5" t="s">
        <v>420</v>
      </c>
      <c r="C128" s="5" t="s">
        <v>332</v>
      </c>
      <c r="D128" s="5" t="s">
        <v>421</v>
      </c>
      <c r="G128" s="19" t="b">
        <f t="shared" si="1"/>
        <v>1</v>
      </c>
      <c r="H128" s="19" t="b">
        <f>AND(J128&lt;&gt;"", T128&gt;75)</f>
        <v>0</v>
      </c>
      <c r="J128" s="6"/>
      <c r="Q128" s="6" t="s">
        <v>273</v>
      </c>
      <c r="R128" s="6" t="s">
        <v>334</v>
      </c>
      <c r="U128" s="7">
        <v>100</v>
      </c>
    </row>
    <row r="129" spans="1:22" hidden="1" x14ac:dyDescent="0.3">
      <c r="A129" s="5">
        <v>897139</v>
      </c>
      <c r="B129" s="5" t="s">
        <v>422</v>
      </c>
      <c r="C129" s="5" t="s">
        <v>370</v>
      </c>
      <c r="D129" s="5" t="s">
        <v>423</v>
      </c>
      <c r="E129" s="5" t="s">
        <v>424</v>
      </c>
      <c r="G129" s="19" t="b">
        <f t="shared" si="1"/>
        <v>1</v>
      </c>
      <c r="H129" s="19" t="b">
        <f>AND(J129&lt;&gt;"", T129&gt;75)</f>
        <v>1</v>
      </c>
      <c r="I129" s="6">
        <v>335713</v>
      </c>
      <c r="J129" s="11" t="s">
        <v>423</v>
      </c>
      <c r="K129" s="6" t="s">
        <v>281</v>
      </c>
      <c r="L129" s="13">
        <v>781002820765</v>
      </c>
      <c r="M129" s="6">
        <v>31162400</v>
      </c>
      <c r="N129" s="6" t="s">
        <v>424</v>
      </c>
      <c r="O129" s="6">
        <v>261838</v>
      </c>
      <c r="P129" s="6" t="s">
        <v>422</v>
      </c>
      <c r="Q129" s="6" t="s">
        <v>281</v>
      </c>
      <c r="R129" s="6" t="s">
        <v>370</v>
      </c>
      <c r="S129" s="7">
        <v>0.99998002063270497</v>
      </c>
      <c r="T129" s="7">
        <v>100</v>
      </c>
      <c r="U129" s="7">
        <v>100</v>
      </c>
      <c r="V129" s="7">
        <v>100</v>
      </c>
    </row>
    <row r="130" spans="1:22" hidden="1" x14ac:dyDescent="0.3">
      <c r="A130" s="5">
        <v>897140</v>
      </c>
      <c r="B130" s="5" t="s">
        <v>425</v>
      </c>
      <c r="C130" s="5" t="s">
        <v>370</v>
      </c>
      <c r="D130" s="5" t="s">
        <v>426</v>
      </c>
      <c r="E130" s="5" t="s">
        <v>427</v>
      </c>
      <c r="G130" s="19" t="b">
        <f t="shared" si="1"/>
        <v>1</v>
      </c>
      <c r="H130" s="19" t="b">
        <f>AND(J130&lt;&gt;"", T130&gt;75)</f>
        <v>1</v>
      </c>
      <c r="I130" s="6">
        <v>210311</v>
      </c>
      <c r="J130" s="11" t="s">
        <v>426</v>
      </c>
      <c r="K130" s="6" t="s">
        <v>281</v>
      </c>
      <c r="L130" s="13">
        <v>781002274858</v>
      </c>
      <c r="M130" s="6">
        <v>31151606</v>
      </c>
      <c r="O130" s="6">
        <v>113271</v>
      </c>
      <c r="P130" s="6" t="s">
        <v>428</v>
      </c>
      <c r="Q130" s="6" t="s">
        <v>281</v>
      </c>
      <c r="R130" s="6" t="s">
        <v>370</v>
      </c>
      <c r="S130" s="8">
        <v>0.81013595655072101</v>
      </c>
      <c r="T130" s="7">
        <v>100</v>
      </c>
      <c r="U130" s="7">
        <v>100</v>
      </c>
      <c r="V130" s="7">
        <v>100</v>
      </c>
    </row>
    <row r="131" spans="1:22" hidden="1" x14ac:dyDescent="0.3">
      <c r="A131" s="5">
        <v>897141</v>
      </c>
      <c r="B131" s="5" t="s">
        <v>429</v>
      </c>
      <c r="C131" s="5" t="s">
        <v>254</v>
      </c>
      <c r="D131" s="5" t="s">
        <v>430</v>
      </c>
      <c r="E131" s="5" t="s">
        <v>431</v>
      </c>
      <c r="G131" s="19" t="b">
        <f t="shared" ref="G131:G194" si="2">(R131&lt;&gt;"")</f>
        <v>0</v>
      </c>
      <c r="H131" s="19" t="b">
        <f>AND(J131&lt;&gt;"", T131&gt;75)</f>
        <v>1</v>
      </c>
      <c r="I131" s="6">
        <v>336393</v>
      </c>
      <c r="J131" s="11" t="s">
        <v>430</v>
      </c>
      <c r="K131" s="6" t="s">
        <v>308</v>
      </c>
      <c r="L131" s="13">
        <v>786189107081</v>
      </c>
      <c r="M131" s="6">
        <v>39121300</v>
      </c>
      <c r="N131" s="6" t="s">
        <v>431</v>
      </c>
      <c r="O131" s="6">
        <v>255892</v>
      </c>
      <c r="P131" s="6" t="s">
        <v>432</v>
      </c>
      <c r="Q131" s="6" t="s">
        <v>308</v>
      </c>
      <c r="S131" s="8">
        <v>0.98803050958215499</v>
      </c>
      <c r="T131" s="8">
        <v>76.901525479107704</v>
      </c>
      <c r="U131" s="8">
        <v>50.901525479107697</v>
      </c>
      <c r="V131" s="7">
        <v>100</v>
      </c>
    </row>
    <row r="132" spans="1:22" hidden="1" x14ac:dyDescent="0.3">
      <c r="A132" s="5">
        <v>897142</v>
      </c>
      <c r="B132" s="5" t="s">
        <v>355</v>
      </c>
      <c r="C132" s="5" t="s">
        <v>356</v>
      </c>
      <c r="D132" s="5" t="s">
        <v>357</v>
      </c>
      <c r="E132" s="5" t="s">
        <v>358</v>
      </c>
      <c r="G132" s="19" t="b">
        <f t="shared" si="2"/>
        <v>0</v>
      </c>
      <c r="H132" s="19" t="b">
        <f>AND(J132&lt;&gt;"", T132&gt;75)</f>
        <v>0</v>
      </c>
      <c r="I132" s="6">
        <v>339261</v>
      </c>
      <c r="J132" s="6" t="s">
        <v>357</v>
      </c>
      <c r="K132" s="6" t="s">
        <v>359</v>
      </c>
      <c r="L132" s="13">
        <v>783585235929</v>
      </c>
      <c r="M132" s="6">
        <v>39121406</v>
      </c>
      <c r="N132" s="6" t="s">
        <v>358</v>
      </c>
      <c r="O132" s="6">
        <v>260178</v>
      </c>
      <c r="P132" s="6" t="s">
        <v>360</v>
      </c>
      <c r="Q132" s="6" t="s">
        <v>359</v>
      </c>
      <c r="S132" s="7">
        <v>0.95162159514892597</v>
      </c>
      <c r="T132" s="8">
        <v>22.383489512201098</v>
      </c>
      <c r="U132" s="8">
        <v>77.540539878723095</v>
      </c>
      <c r="V132" s="7">
        <v>100</v>
      </c>
    </row>
    <row r="133" spans="1:22" hidden="1" x14ac:dyDescent="0.3">
      <c r="A133" s="5">
        <v>897143</v>
      </c>
      <c r="B133" s="5" t="s">
        <v>433</v>
      </c>
      <c r="C133" s="5" t="s">
        <v>370</v>
      </c>
      <c r="D133" s="5" t="s">
        <v>434</v>
      </c>
      <c r="E133" s="5" t="s">
        <v>435</v>
      </c>
      <c r="G133" s="19" t="b">
        <f t="shared" si="2"/>
        <v>1</v>
      </c>
      <c r="H133" s="19" t="b">
        <f>AND(J133&lt;&gt;"", T133&gt;75)</f>
        <v>1</v>
      </c>
      <c r="I133" s="6">
        <v>210317</v>
      </c>
      <c r="J133" s="11" t="s">
        <v>434</v>
      </c>
      <c r="K133" s="6" t="s">
        <v>281</v>
      </c>
      <c r="L133" s="13">
        <v>781002558767</v>
      </c>
      <c r="M133" s="6">
        <v>31161504</v>
      </c>
      <c r="O133" s="6">
        <v>113291</v>
      </c>
      <c r="P133" s="6" t="s">
        <v>436</v>
      </c>
      <c r="Q133" s="6" t="s">
        <v>281</v>
      </c>
      <c r="R133" s="6" t="s">
        <v>370</v>
      </c>
      <c r="S133" s="8">
        <v>0.844162076163677</v>
      </c>
      <c r="T133" s="7">
        <v>100</v>
      </c>
      <c r="U133" s="7">
        <v>100</v>
      </c>
      <c r="V133" s="7">
        <v>100</v>
      </c>
    </row>
    <row r="134" spans="1:22" x14ac:dyDescent="0.3">
      <c r="A134" s="5">
        <v>897144</v>
      </c>
      <c r="B134" s="5" t="s">
        <v>437</v>
      </c>
      <c r="C134" s="5" t="s">
        <v>254</v>
      </c>
      <c r="D134" s="5">
        <v>455</v>
      </c>
      <c r="E134" s="5" t="s">
        <v>438</v>
      </c>
      <c r="G134" s="19" t="b">
        <f t="shared" si="2"/>
        <v>1</v>
      </c>
      <c r="H134" s="19" t="b">
        <f>AND(J134&lt;&gt;"", T134&gt;75)</f>
        <v>0</v>
      </c>
      <c r="J134" s="6"/>
      <c r="Q134" s="6" t="s">
        <v>257</v>
      </c>
      <c r="R134" s="6" t="s">
        <v>254</v>
      </c>
      <c r="U134" s="7">
        <v>50</v>
      </c>
    </row>
    <row r="135" spans="1:22" hidden="1" x14ac:dyDescent="0.3">
      <c r="A135" s="5">
        <v>897145</v>
      </c>
      <c r="B135" s="5" t="s">
        <v>439</v>
      </c>
      <c r="C135" s="5" t="s">
        <v>245</v>
      </c>
      <c r="D135" s="5" t="s">
        <v>440</v>
      </c>
      <c r="E135" s="5" t="s">
        <v>441</v>
      </c>
      <c r="G135" s="19" t="b">
        <f t="shared" si="2"/>
        <v>1</v>
      </c>
      <c r="H135" s="19" t="b">
        <f>AND(J135&lt;&gt;"", T135&gt;75)</f>
        <v>1</v>
      </c>
      <c r="I135" s="6">
        <v>335941</v>
      </c>
      <c r="J135" s="11" t="s">
        <v>442</v>
      </c>
      <c r="K135" s="6" t="s">
        <v>247</v>
      </c>
      <c r="L135" s="13">
        <v>781747154101</v>
      </c>
      <c r="M135" s="6">
        <v>39131700</v>
      </c>
      <c r="N135" s="6" t="s">
        <v>441</v>
      </c>
      <c r="O135" s="6">
        <v>270379</v>
      </c>
      <c r="P135" s="6" t="s">
        <v>443</v>
      </c>
      <c r="Q135" s="6" t="s">
        <v>247</v>
      </c>
      <c r="R135" s="6" t="s">
        <v>245</v>
      </c>
      <c r="S135" s="8">
        <v>0.99645813966546604</v>
      </c>
      <c r="T135" s="7">
        <v>100</v>
      </c>
      <c r="U135" s="7">
        <v>100</v>
      </c>
      <c r="V135" s="7">
        <v>100</v>
      </c>
    </row>
    <row r="136" spans="1:22" x14ac:dyDescent="0.3">
      <c r="A136" s="5">
        <v>897146</v>
      </c>
      <c r="B136" s="5" t="s">
        <v>444</v>
      </c>
      <c r="C136" s="5" t="s">
        <v>445</v>
      </c>
      <c r="D136" s="5">
        <v>590</v>
      </c>
      <c r="E136" s="5" t="s">
        <v>446</v>
      </c>
      <c r="G136" s="19" t="b">
        <f t="shared" si="2"/>
        <v>1</v>
      </c>
      <c r="H136" s="19" t="b">
        <f>AND(J136&lt;&gt;"", T136&gt;75)</f>
        <v>0</v>
      </c>
      <c r="J136" s="6"/>
      <c r="Q136" s="6" t="s">
        <v>447</v>
      </c>
      <c r="R136" s="6" t="s">
        <v>445</v>
      </c>
      <c r="U136" s="7">
        <v>100</v>
      </c>
    </row>
    <row r="137" spans="1:22" x14ac:dyDescent="0.3">
      <c r="A137" s="5">
        <v>897147</v>
      </c>
      <c r="B137" s="5" t="s">
        <v>274</v>
      </c>
      <c r="C137" s="5" t="s">
        <v>240</v>
      </c>
      <c r="D137" s="5" t="s">
        <v>275</v>
      </c>
      <c r="E137" s="5" t="s">
        <v>38</v>
      </c>
      <c r="G137" s="19" t="b">
        <f t="shared" si="2"/>
        <v>1</v>
      </c>
      <c r="H137" s="19" t="b">
        <f>AND(J137&lt;&gt;"", T137&gt;75)</f>
        <v>0</v>
      </c>
      <c r="J137" s="6"/>
      <c r="Q137" s="6" t="s">
        <v>39</v>
      </c>
      <c r="R137" s="6" t="s">
        <v>240</v>
      </c>
      <c r="U137" s="7">
        <v>100</v>
      </c>
    </row>
    <row r="138" spans="1:22" x14ac:dyDescent="0.3">
      <c r="A138" s="5">
        <v>897148</v>
      </c>
      <c r="B138" s="5" t="s">
        <v>448</v>
      </c>
      <c r="C138" s="5" t="s">
        <v>254</v>
      </c>
      <c r="D138" s="5" t="s">
        <v>449</v>
      </c>
      <c r="E138" s="5" t="s">
        <v>450</v>
      </c>
      <c r="G138" s="19" t="b">
        <f t="shared" si="2"/>
        <v>1</v>
      </c>
      <c r="H138" s="19" t="b">
        <f>AND(J138&lt;&gt;"", T138&gt;75)</f>
        <v>0</v>
      </c>
      <c r="J138" s="6"/>
      <c r="Q138" s="6" t="s">
        <v>257</v>
      </c>
      <c r="R138" s="6" t="s">
        <v>254</v>
      </c>
      <c r="U138" s="7">
        <v>100</v>
      </c>
    </row>
    <row r="139" spans="1:22" x14ac:dyDescent="0.3">
      <c r="A139" s="5">
        <v>897149</v>
      </c>
      <c r="B139" s="5" t="s">
        <v>451</v>
      </c>
      <c r="C139" s="5" t="s">
        <v>240</v>
      </c>
      <c r="D139" s="5" t="s">
        <v>452</v>
      </c>
      <c r="E139" s="5" t="s">
        <v>453</v>
      </c>
      <c r="G139" s="19" t="b">
        <f t="shared" si="2"/>
        <v>1</v>
      </c>
      <c r="H139" s="19" t="b">
        <f>AND(J139&lt;&gt;"", T139&gt;75)</f>
        <v>0</v>
      </c>
      <c r="J139" s="6"/>
      <c r="Q139" s="6" t="s">
        <v>39</v>
      </c>
      <c r="R139" s="6" t="s">
        <v>240</v>
      </c>
      <c r="U139" s="7">
        <v>100</v>
      </c>
    </row>
    <row r="140" spans="1:22" x14ac:dyDescent="0.3">
      <c r="A140" s="5">
        <v>897150</v>
      </c>
      <c r="B140" s="5" t="s">
        <v>454</v>
      </c>
      <c r="C140" s="5" t="s">
        <v>240</v>
      </c>
      <c r="D140" s="5" t="s">
        <v>455</v>
      </c>
      <c r="E140" s="5" t="s">
        <v>456</v>
      </c>
      <c r="G140" s="19" t="b">
        <f t="shared" si="2"/>
        <v>1</v>
      </c>
      <c r="H140" s="19" t="b">
        <f>AND(J140&lt;&gt;"", T140&gt;75)</f>
        <v>0</v>
      </c>
      <c r="J140" s="6"/>
      <c r="Q140" s="6" t="s">
        <v>39</v>
      </c>
      <c r="R140" s="6" t="s">
        <v>240</v>
      </c>
      <c r="U140" s="7">
        <v>100</v>
      </c>
    </row>
    <row r="141" spans="1:22" x14ac:dyDescent="0.3">
      <c r="A141" s="5">
        <v>897151</v>
      </c>
      <c r="B141" s="5" t="s">
        <v>457</v>
      </c>
      <c r="C141" s="5" t="s">
        <v>458</v>
      </c>
      <c r="D141" s="5" t="s">
        <v>459</v>
      </c>
      <c r="G141" s="19" t="b">
        <f t="shared" si="2"/>
        <v>1</v>
      </c>
      <c r="H141" s="19" t="b">
        <f>AND(J141&lt;&gt;"", T141&gt;75)</f>
        <v>0</v>
      </c>
      <c r="J141" s="6"/>
      <c r="Q141" s="6" t="s">
        <v>458</v>
      </c>
      <c r="R141" s="6" t="s">
        <v>458</v>
      </c>
      <c r="U141" s="7">
        <v>50</v>
      </c>
    </row>
    <row r="142" spans="1:22" x14ac:dyDescent="0.3">
      <c r="A142" s="5">
        <v>897152</v>
      </c>
      <c r="B142" s="5" t="s">
        <v>284</v>
      </c>
      <c r="C142" s="5" t="s">
        <v>254</v>
      </c>
      <c r="D142" s="5" t="s">
        <v>285</v>
      </c>
      <c r="E142" s="5" t="s">
        <v>286</v>
      </c>
      <c r="G142" s="19" t="b">
        <f t="shared" si="2"/>
        <v>1</v>
      </c>
      <c r="H142" s="19" t="b">
        <f>AND(J142&lt;&gt;"", T142&gt;75)</f>
        <v>0</v>
      </c>
      <c r="J142" s="6"/>
      <c r="Q142" s="6" t="s">
        <v>257</v>
      </c>
      <c r="R142" s="6" t="s">
        <v>254</v>
      </c>
      <c r="U142" s="7">
        <v>100</v>
      </c>
    </row>
    <row r="143" spans="1:22" x14ac:dyDescent="0.3">
      <c r="A143" s="5">
        <v>897153</v>
      </c>
      <c r="B143" s="5" t="s">
        <v>460</v>
      </c>
      <c r="C143" s="5" t="s">
        <v>254</v>
      </c>
      <c r="D143" s="5" t="s">
        <v>461</v>
      </c>
      <c r="E143" s="5" t="s">
        <v>462</v>
      </c>
      <c r="G143" s="19" t="b">
        <f t="shared" si="2"/>
        <v>1</v>
      </c>
      <c r="H143" s="19" t="b">
        <f>AND(J143&lt;&gt;"", T143&gt;75)</f>
        <v>0</v>
      </c>
      <c r="J143" s="6"/>
      <c r="Q143" s="6" t="s">
        <v>257</v>
      </c>
      <c r="R143" s="6" t="s">
        <v>254</v>
      </c>
      <c r="U143" s="7">
        <v>100</v>
      </c>
    </row>
    <row r="144" spans="1:22" hidden="1" x14ac:dyDescent="0.3">
      <c r="A144" s="5">
        <v>897154</v>
      </c>
      <c r="B144" s="5" t="s">
        <v>463</v>
      </c>
      <c r="C144" s="5" t="s">
        <v>254</v>
      </c>
      <c r="D144" s="5" t="s">
        <v>464</v>
      </c>
      <c r="E144" s="5" t="s">
        <v>465</v>
      </c>
      <c r="G144" s="19" t="b">
        <f t="shared" si="2"/>
        <v>0</v>
      </c>
      <c r="H144" s="19" t="b">
        <f>AND(J144&lt;&gt;"", T144&gt;75)</f>
        <v>1</v>
      </c>
      <c r="I144" s="6">
        <v>336645</v>
      </c>
      <c r="J144" s="11" t="s">
        <v>464</v>
      </c>
      <c r="K144" s="6" t="s">
        <v>308</v>
      </c>
      <c r="L144" s="13">
        <v>786189079401</v>
      </c>
      <c r="M144" s="6">
        <v>39121321</v>
      </c>
      <c r="N144" s="6" t="s">
        <v>465</v>
      </c>
      <c r="O144" s="6">
        <v>255954</v>
      </c>
      <c r="P144" s="6" t="s">
        <v>466</v>
      </c>
      <c r="Q144" s="6" t="s">
        <v>308</v>
      </c>
      <c r="S144" s="8">
        <v>0.95215132243808698</v>
      </c>
      <c r="T144" s="8">
        <v>80.107566121904298</v>
      </c>
      <c r="U144" s="8">
        <v>52.107566121904298</v>
      </c>
      <c r="V144" s="7">
        <v>100</v>
      </c>
    </row>
    <row r="145" spans="1:22" hidden="1" x14ac:dyDescent="0.3">
      <c r="A145" s="5">
        <v>897155</v>
      </c>
      <c r="B145" s="5" t="s">
        <v>355</v>
      </c>
      <c r="C145" s="5" t="s">
        <v>356</v>
      </c>
      <c r="D145" s="5" t="s">
        <v>357</v>
      </c>
      <c r="E145" s="5" t="s">
        <v>358</v>
      </c>
      <c r="G145" s="19" t="b">
        <f t="shared" si="2"/>
        <v>0</v>
      </c>
      <c r="H145" s="19" t="b">
        <f>AND(J145&lt;&gt;"", T145&gt;75)</f>
        <v>0</v>
      </c>
      <c r="I145" s="6">
        <v>339261</v>
      </c>
      <c r="J145" s="6" t="s">
        <v>357</v>
      </c>
      <c r="K145" s="6" t="s">
        <v>359</v>
      </c>
      <c r="L145" s="13">
        <v>783585235929</v>
      </c>
      <c r="M145" s="6">
        <v>39121406</v>
      </c>
      <c r="N145" s="6" t="s">
        <v>358</v>
      </c>
      <c r="O145" s="6">
        <v>260178</v>
      </c>
      <c r="P145" s="6" t="s">
        <v>360</v>
      </c>
      <c r="Q145" s="6" t="s">
        <v>359</v>
      </c>
      <c r="S145" s="8">
        <v>0.95166161898418999</v>
      </c>
      <c r="T145" s="8">
        <v>22.382150964499601</v>
      </c>
      <c r="U145" s="8">
        <v>77.541540474604702</v>
      </c>
      <c r="V145" s="7">
        <v>100</v>
      </c>
    </row>
    <row r="146" spans="1:22" x14ac:dyDescent="0.3">
      <c r="A146" s="5">
        <v>897156</v>
      </c>
      <c r="B146" s="5" t="s">
        <v>467</v>
      </c>
      <c r="C146" s="5" t="s">
        <v>270</v>
      </c>
      <c r="D146" s="5" t="s">
        <v>468</v>
      </c>
      <c r="E146" s="5" t="s">
        <v>469</v>
      </c>
      <c r="G146" s="19" t="b">
        <f t="shared" si="2"/>
        <v>1</v>
      </c>
      <c r="H146" s="19" t="b">
        <f>AND(J146&lt;&gt;"", T146&gt;75)</f>
        <v>0</v>
      </c>
      <c r="J146" s="6"/>
      <c r="Q146" s="6" t="s">
        <v>273</v>
      </c>
      <c r="R146" s="6" t="s">
        <v>270</v>
      </c>
      <c r="U146" s="7">
        <v>100</v>
      </c>
    </row>
    <row r="147" spans="1:22" x14ac:dyDescent="0.3">
      <c r="A147" s="5">
        <v>897157</v>
      </c>
      <c r="B147" s="5" t="s">
        <v>470</v>
      </c>
      <c r="C147" s="5" t="s">
        <v>471</v>
      </c>
      <c r="D147" s="5" t="s">
        <v>472</v>
      </c>
      <c r="E147" s="5" t="s">
        <v>473</v>
      </c>
      <c r="G147" s="19" t="b">
        <f t="shared" si="2"/>
        <v>1</v>
      </c>
      <c r="H147" s="19" t="b">
        <f>AND(J147&lt;&gt;"", T147&gt;75)</f>
        <v>0</v>
      </c>
      <c r="J147" s="6"/>
      <c r="Q147" s="6" t="s">
        <v>115</v>
      </c>
      <c r="R147" s="6" t="s">
        <v>115</v>
      </c>
      <c r="U147" s="7">
        <v>60</v>
      </c>
    </row>
    <row r="148" spans="1:22" hidden="1" x14ac:dyDescent="0.3">
      <c r="A148" s="5">
        <v>897158</v>
      </c>
      <c r="B148" s="5" t="s">
        <v>474</v>
      </c>
      <c r="C148" s="5" t="s">
        <v>300</v>
      </c>
      <c r="D148" s="5" t="s">
        <v>475</v>
      </c>
      <c r="E148" s="5" t="s">
        <v>476</v>
      </c>
      <c r="G148" s="19" t="b">
        <f t="shared" si="2"/>
        <v>1</v>
      </c>
      <c r="H148" s="19" t="b">
        <f>AND(J148&lt;&gt;"", T148&gt;75)</f>
        <v>1</v>
      </c>
      <c r="I148" s="6">
        <v>342418</v>
      </c>
      <c r="J148" s="11" t="s">
        <v>475</v>
      </c>
      <c r="K148" s="6" t="s">
        <v>303</v>
      </c>
      <c r="L148" s="13">
        <v>783510427009</v>
      </c>
      <c r="M148" s="6">
        <v>39121324</v>
      </c>
      <c r="N148" s="6" t="s">
        <v>476</v>
      </c>
      <c r="O148" s="6">
        <v>272155</v>
      </c>
      <c r="P148" s="6" t="s">
        <v>477</v>
      </c>
      <c r="Q148" s="6" t="s">
        <v>303</v>
      </c>
      <c r="R148" s="6" t="s">
        <v>300</v>
      </c>
      <c r="S148" s="8">
        <v>0.99126952745827901</v>
      </c>
      <c r="T148" s="7">
        <v>100</v>
      </c>
      <c r="U148" s="7">
        <v>100</v>
      </c>
      <c r="V148" s="7">
        <v>100</v>
      </c>
    </row>
    <row r="149" spans="1:22" hidden="1" x14ac:dyDescent="0.3">
      <c r="A149" s="5">
        <v>897159</v>
      </c>
      <c r="B149" s="5" t="s">
        <v>349</v>
      </c>
      <c r="C149" s="5" t="s">
        <v>350</v>
      </c>
      <c r="D149" s="5" t="s">
        <v>351</v>
      </c>
      <c r="E149" s="5" t="s">
        <v>352</v>
      </c>
      <c r="G149" s="19" t="b">
        <f t="shared" si="2"/>
        <v>0</v>
      </c>
      <c r="H149" s="19" t="b">
        <f>AND(J149&lt;&gt;"", T149&gt;75)</f>
        <v>0</v>
      </c>
      <c r="I149" s="6">
        <v>324326</v>
      </c>
      <c r="J149" s="6">
        <v>58025205</v>
      </c>
      <c r="K149" s="6" t="s">
        <v>326</v>
      </c>
      <c r="L149" s="14" t="s">
        <v>353</v>
      </c>
      <c r="M149" s="6">
        <v>26121614</v>
      </c>
      <c r="O149" s="6">
        <v>88599</v>
      </c>
      <c r="P149" s="6" t="s">
        <v>354</v>
      </c>
      <c r="Q149" s="6" t="s">
        <v>326</v>
      </c>
      <c r="S149" s="8">
        <v>0.71679316712693797</v>
      </c>
      <c r="T149" s="8">
        <v>73.339658356346902</v>
      </c>
      <c r="U149" s="8">
        <v>43.339658356346902</v>
      </c>
      <c r="V149" s="8">
        <v>58.358633425387602</v>
      </c>
    </row>
    <row r="150" spans="1:22" x14ac:dyDescent="0.3">
      <c r="A150" s="5">
        <v>897160</v>
      </c>
      <c r="B150" s="5" t="s">
        <v>478</v>
      </c>
      <c r="C150" s="5" t="s">
        <v>270</v>
      </c>
      <c r="D150" s="5" t="s">
        <v>479</v>
      </c>
      <c r="E150" s="5" t="s">
        <v>480</v>
      </c>
      <c r="G150" s="19" t="b">
        <f t="shared" si="2"/>
        <v>1</v>
      </c>
      <c r="H150" s="19" t="b">
        <f>AND(J150&lt;&gt;"", T150&gt;75)</f>
        <v>0</v>
      </c>
      <c r="J150" s="6"/>
      <c r="Q150" s="6" t="s">
        <v>273</v>
      </c>
      <c r="R150" s="6" t="s">
        <v>270</v>
      </c>
      <c r="U150" s="7">
        <v>100</v>
      </c>
    </row>
    <row r="151" spans="1:22" x14ac:dyDescent="0.3">
      <c r="A151" s="5">
        <v>897161</v>
      </c>
      <c r="B151" s="5" t="s">
        <v>481</v>
      </c>
      <c r="C151" s="5" t="s">
        <v>270</v>
      </c>
      <c r="D151" s="5" t="s">
        <v>482</v>
      </c>
      <c r="E151" s="5" t="s">
        <v>483</v>
      </c>
      <c r="G151" s="19" t="b">
        <f t="shared" si="2"/>
        <v>1</v>
      </c>
      <c r="H151" s="19" t="b">
        <f>AND(J151&lt;&gt;"", T151&gt;75)</f>
        <v>0</v>
      </c>
      <c r="J151" s="6"/>
      <c r="Q151" s="6" t="s">
        <v>273</v>
      </c>
      <c r="R151" s="6" t="s">
        <v>270</v>
      </c>
      <c r="U151" s="7">
        <v>100</v>
      </c>
    </row>
    <row r="152" spans="1:22" x14ac:dyDescent="0.3">
      <c r="A152" s="5">
        <v>897162</v>
      </c>
      <c r="B152" s="5" t="s">
        <v>484</v>
      </c>
      <c r="C152" s="5" t="s">
        <v>270</v>
      </c>
      <c r="D152" s="5" t="s">
        <v>485</v>
      </c>
      <c r="E152" s="5" t="s">
        <v>486</v>
      </c>
      <c r="G152" s="19" t="b">
        <f t="shared" si="2"/>
        <v>1</v>
      </c>
      <c r="H152" s="19" t="b">
        <f>AND(J152&lt;&gt;"", T152&gt;75)</f>
        <v>0</v>
      </c>
      <c r="J152" s="6"/>
      <c r="Q152" s="6" t="s">
        <v>273</v>
      </c>
      <c r="R152" s="6" t="s">
        <v>270</v>
      </c>
      <c r="U152" s="7">
        <v>100</v>
      </c>
    </row>
    <row r="153" spans="1:22" x14ac:dyDescent="0.3">
      <c r="A153" s="5">
        <v>897163</v>
      </c>
      <c r="B153" s="5" t="s">
        <v>487</v>
      </c>
      <c r="C153" s="5" t="s">
        <v>237</v>
      </c>
      <c r="D153" s="5" t="s">
        <v>488</v>
      </c>
      <c r="E153" s="5" t="s">
        <v>489</v>
      </c>
      <c r="G153" s="19" t="b">
        <f t="shared" si="2"/>
        <v>1</v>
      </c>
      <c r="H153" s="19" t="b">
        <f>AND(J153&lt;&gt;"", T153&gt;75)</f>
        <v>0</v>
      </c>
      <c r="J153" s="6"/>
      <c r="Q153" s="6" t="s">
        <v>39</v>
      </c>
      <c r="R153" s="6" t="s">
        <v>237</v>
      </c>
      <c r="U153" s="7">
        <v>100</v>
      </c>
    </row>
    <row r="154" spans="1:22" hidden="1" x14ac:dyDescent="0.3">
      <c r="A154" s="5">
        <v>897164</v>
      </c>
      <c r="B154" s="5" t="s">
        <v>490</v>
      </c>
      <c r="C154" s="5" t="s">
        <v>254</v>
      </c>
      <c r="D154" s="5" t="s">
        <v>491</v>
      </c>
      <c r="E154" s="5" t="s">
        <v>492</v>
      </c>
      <c r="G154" s="19" t="b">
        <f t="shared" si="2"/>
        <v>0</v>
      </c>
      <c r="H154" s="19" t="b">
        <f>AND(J154&lt;&gt;"", T154&gt;75)</f>
        <v>1</v>
      </c>
      <c r="I154" s="6">
        <v>337849</v>
      </c>
      <c r="J154" s="11" t="s">
        <v>491</v>
      </c>
      <c r="K154" s="6" t="s">
        <v>308</v>
      </c>
      <c r="L154" s="13">
        <v>782274592503</v>
      </c>
      <c r="M154" s="6">
        <v>39121312</v>
      </c>
      <c r="N154" s="6" t="s">
        <v>492</v>
      </c>
      <c r="O154" s="6">
        <v>255614</v>
      </c>
      <c r="P154" s="6" t="s">
        <v>493</v>
      </c>
      <c r="Q154" s="6" t="s">
        <v>308</v>
      </c>
      <c r="S154" s="7">
        <v>0.95313011986973395</v>
      </c>
      <c r="T154" s="8">
        <v>75.156505993486604</v>
      </c>
      <c r="U154" s="7">
        <v>49.156505993486697</v>
      </c>
      <c r="V154" s="8">
        <v>99.626023973946701</v>
      </c>
    </row>
    <row r="155" spans="1:22" hidden="1" x14ac:dyDescent="0.3">
      <c r="A155" s="5">
        <v>897165</v>
      </c>
      <c r="B155" s="5" t="s">
        <v>222</v>
      </c>
      <c r="C155" s="5" t="s">
        <v>117</v>
      </c>
      <c r="D155" s="5">
        <v>30283</v>
      </c>
      <c r="G155" s="19" t="b">
        <f t="shared" si="2"/>
        <v>1</v>
      </c>
      <c r="H155" s="19" t="b">
        <f>AND(J155&lt;&gt;"", T155&gt;75)</f>
        <v>1</v>
      </c>
      <c r="I155" s="6">
        <v>172067</v>
      </c>
      <c r="J155" s="11">
        <v>30283</v>
      </c>
      <c r="K155" s="6" t="s">
        <v>117</v>
      </c>
      <c r="L155" s="14" t="s">
        <v>223</v>
      </c>
      <c r="M155" s="6">
        <v>39121304</v>
      </c>
      <c r="O155" s="6">
        <v>36550</v>
      </c>
      <c r="P155" s="6" t="s">
        <v>224</v>
      </c>
      <c r="Q155" s="6" t="s">
        <v>117</v>
      </c>
      <c r="R155" s="6" t="s">
        <v>117</v>
      </c>
      <c r="S155" s="8">
        <v>0.74734486282620904</v>
      </c>
      <c r="T155" s="8">
        <v>89.867243141310396</v>
      </c>
      <c r="U155" s="7">
        <v>100</v>
      </c>
      <c r="V155" s="8">
        <v>85.468972565241799</v>
      </c>
    </row>
    <row r="156" spans="1:22" hidden="1" x14ac:dyDescent="0.3">
      <c r="A156" s="5">
        <v>897166</v>
      </c>
      <c r="B156" s="5" t="s">
        <v>355</v>
      </c>
      <c r="C156" s="5" t="s">
        <v>356</v>
      </c>
      <c r="D156" s="5" t="s">
        <v>357</v>
      </c>
      <c r="E156" s="5" t="s">
        <v>358</v>
      </c>
      <c r="G156" s="19" t="b">
        <f t="shared" si="2"/>
        <v>0</v>
      </c>
      <c r="H156" s="19" t="b">
        <f>AND(J156&lt;&gt;"", T156&gt;75)</f>
        <v>0</v>
      </c>
      <c r="I156" s="6">
        <v>339261</v>
      </c>
      <c r="J156" s="6" t="s">
        <v>357</v>
      </c>
      <c r="K156" s="6" t="s">
        <v>359</v>
      </c>
      <c r="L156" s="13">
        <v>783585235929</v>
      </c>
      <c r="M156" s="6">
        <v>39121406</v>
      </c>
      <c r="N156" s="6" t="s">
        <v>358</v>
      </c>
      <c r="O156" s="6">
        <v>260178</v>
      </c>
      <c r="P156" s="6" t="s">
        <v>360</v>
      </c>
      <c r="Q156" s="6" t="s">
        <v>359</v>
      </c>
      <c r="S156" s="8">
        <v>0.95166161898418999</v>
      </c>
      <c r="T156" s="8">
        <v>22.382150964499601</v>
      </c>
      <c r="U156" s="8">
        <v>77.541540474604702</v>
      </c>
      <c r="V156" s="7">
        <v>100</v>
      </c>
    </row>
    <row r="157" spans="1:22" x14ac:dyDescent="0.3">
      <c r="A157" s="5">
        <v>897167</v>
      </c>
      <c r="B157" s="5" t="s">
        <v>494</v>
      </c>
      <c r="C157" s="5" t="s">
        <v>270</v>
      </c>
      <c r="D157" s="5" t="s">
        <v>495</v>
      </c>
      <c r="G157" s="19" t="b">
        <f t="shared" si="2"/>
        <v>1</v>
      </c>
      <c r="H157" s="19" t="b">
        <f>AND(J157&lt;&gt;"", T157&gt;75)</f>
        <v>0</v>
      </c>
      <c r="J157" s="6"/>
      <c r="Q157" s="6" t="s">
        <v>273</v>
      </c>
      <c r="R157" s="6" t="s">
        <v>270</v>
      </c>
      <c r="U157" s="7">
        <v>100</v>
      </c>
    </row>
    <row r="158" spans="1:22" x14ac:dyDescent="0.3">
      <c r="A158" s="5">
        <v>897168</v>
      </c>
      <c r="B158" s="5" t="s">
        <v>496</v>
      </c>
      <c r="C158" s="5" t="s">
        <v>270</v>
      </c>
      <c r="D158" s="5" t="s">
        <v>497</v>
      </c>
      <c r="G158" s="19" t="b">
        <f t="shared" si="2"/>
        <v>1</v>
      </c>
      <c r="H158" s="19" t="b">
        <f>AND(J158&lt;&gt;"", T158&gt;75)</f>
        <v>0</v>
      </c>
      <c r="J158" s="6"/>
      <c r="Q158" s="6" t="s">
        <v>273</v>
      </c>
      <c r="R158" s="6" t="s">
        <v>270</v>
      </c>
      <c r="U158" s="7">
        <v>100</v>
      </c>
    </row>
    <row r="159" spans="1:22" x14ac:dyDescent="0.3">
      <c r="A159" s="5">
        <v>897169</v>
      </c>
      <c r="B159" s="5" t="s">
        <v>498</v>
      </c>
      <c r="C159" s="5" t="s">
        <v>270</v>
      </c>
      <c r="D159" s="5" t="s">
        <v>499</v>
      </c>
      <c r="G159" s="19" t="b">
        <f t="shared" si="2"/>
        <v>1</v>
      </c>
      <c r="H159" s="19" t="b">
        <f>AND(J159&lt;&gt;"", T159&gt;75)</f>
        <v>0</v>
      </c>
      <c r="J159" s="6"/>
      <c r="Q159" s="6" t="s">
        <v>273</v>
      </c>
      <c r="R159" s="6" t="s">
        <v>270</v>
      </c>
      <c r="U159" s="7">
        <v>100</v>
      </c>
    </row>
    <row r="160" spans="1:22" x14ac:dyDescent="0.3">
      <c r="A160" s="5">
        <v>897170</v>
      </c>
      <c r="B160" s="5" t="s">
        <v>500</v>
      </c>
      <c r="C160" s="5" t="s">
        <v>270</v>
      </c>
      <c r="D160" s="5" t="s">
        <v>501</v>
      </c>
      <c r="G160" s="19" t="b">
        <f t="shared" si="2"/>
        <v>1</v>
      </c>
      <c r="H160" s="19" t="b">
        <f>AND(J160&lt;&gt;"", T160&gt;75)</f>
        <v>0</v>
      </c>
      <c r="J160" s="6"/>
      <c r="Q160" s="6" t="s">
        <v>273</v>
      </c>
      <c r="R160" s="6" t="s">
        <v>270</v>
      </c>
      <c r="U160" s="7">
        <v>100</v>
      </c>
    </row>
    <row r="161" spans="1:22" x14ac:dyDescent="0.3">
      <c r="A161" s="5">
        <v>897171</v>
      </c>
      <c r="B161" s="5" t="s">
        <v>502</v>
      </c>
      <c r="C161" s="5" t="s">
        <v>270</v>
      </c>
      <c r="D161" s="5" t="s">
        <v>503</v>
      </c>
      <c r="G161" s="19" t="b">
        <f t="shared" si="2"/>
        <v>1</v>
      </c>
      <c r="H161" s="19" t="b">
        <f>AND(J161&lt;&gt;"", T161&gt;75)</f>
        <v>0</v>
      </c>
      <c r="J161" s="6"/>
      <c r="Q161" s="6" t="s">
        <v>273</v>
      </c>
      <c r="R161" s="6" t="s">
        <v>270</v>
      </c>
      <c r="U161" s="7">
        <v>50</v>
      </c>
    </row>
    <row r="162" spans="1:22" x14ac:dyDescent="0.3">
      <c r="A162" s="5">
        <v>897172</v>
      </c>
      <c r="B162" s="5" t="s">
        <v>504</v>
      </c>
      <c r="C162" s="5" t="s">
        <v>254</v>
      </c>
      <c r="D162" s="5" t="s">
        <v>505</v>
      </c>
      <c r="G162" s="19" t="b">
        <f t="shared" si="2"/>
        <v>1</v>
      </c>
      <c r="H162" s="19" t="b">
        <f>AND(J162&lt;&gt;"", T162&gt;75)</f>
        <v>0</v>
      </c>
      <c r="J162" s="6"/>
      <c r="Q162" s="6" t="s">
        <v>257</v>
      </c>
      <c r="R162" s="6" t="s">
        <v>254</v>
      </c>
      <c r="U162" s="7">
        <v>100</v>
      </c>
    </row>
    <row r="163" spans="1:22" x14ac:dyDescent="0.3">
      <c r="A163" s="5">
        <v>897173</v>
      </c>
      <c r="B163" s="5" t="s">
        <v>506</v>
      </c>
      <c r="C163" s="5" t="s">
        <v>254</v>
      </c>
      <c r="D163" s="5" t="s">
        <v>507</v>
      </c>
      <c r="G163" s="19" t="b">
        <f t="shared" si="2"/>
        <v>1</v>
      </c>
      <c r="H163" s="19" t="b">
        <f>AND(J163&lt;&gt;"", T163&gt;75)</f>
        <v>0</v>
      </c>
      <c r="J163" s="6"/>
      <c r="Q163" s="6" t="s">
        <v>257</v>
      </c>
      <c r="R163" s="6" t="s">
        <v>254</v>
      </c>
      <c r="U163" s="7">
        <v>100</v>
      </c>
    </row>
    <row r="164" spans="1:22" x14ac:dyDescent="0.3">
      <c r="A164" s="5">
        <v>897174</v>
      </c>
      <c r="B164" s="5" t="s">
        <v>508</v>
      </c>
      <c r="C164" s="5" t="s">
        <v>509</v>
      </c>
      <c r="D164" s="5" t="s">
        <v>510</v>
      </c>
      <c r="G164" s="19" t="b">
        <f t="shared" si="2"/>
        <v>0</v>
      </c>
      <c r="H164" s="19" t="b">
        <f>AND(J164&lt;&gt;"", T164&gt;75)</f>
        <v>0</v>
      </c>
      <c r="J164" s="6"/>
    </row>
    <row r="165" spans="1:22" x14ac:dyDescent="0.3">
      <c r="A165" s="5">
        <v>897175</v>
      </c>
      <c r="B165" s="5" t="s">
        <v>511</v>
      </c>
      <c r="C165" s="5" t="s">
        <v>240</v>
      </c>
      <c r="D165" s="5" t="s">
        <v>512</v>
      </c>
      <c r="G165" s="19" t="b">
        <f t="shared" si="2"/>
        <v>1</v>
      </c>
      <c r="H165" s="19" t="b">
        <f>AND(J165&lt;&gt;"", T165&gt;75)</f>
        <v>0</v>
      </c>
      <c r="J165" s="6"/>
      <c r="Q165" s="6" t="s">
        <v>39</v>
      </c>
      <c r="R165" s="6" t="s">
        <v>240</v>
      </c>
      <c r="U165" s="7">
        <v>100</v>
      </c>
    </row>
    <row r="166" spans="1:22" x14ac:dyDescent="0.3">
      <c r="A166" s="5">
        <v>897176</v>
      </c>
      <c r="B166" s="5" t="s">
        <v>513</v>
      </c>
      <c r="G166" s="19" t="b">
        <f t="shared" si="2"/>
        <v>0</v>
      </c>
      <c r="H166" s="19" t="b">
        <f>AND(J166&lt;&gt;"", T166&gt;75)</f>
        <v>0</v>
      </c>
      <c r="J166" s="6"/>
    </row>
    <row r="167" spans="1:22" hidden="1" x14ac:dyDescent="0.3">
      <c r="A167" s="5">
        <v>897177</v>
      </c>
      <c r="B167" s="5" t="s">
        <v>514</v>
      </c>
      <c r="C167" s="5" t="s">
        <v>245</v>
      </c>
      <c r="D167" s="5" t="s">
        <v>515</v>
      </c>
      <c r="G167" s="19" t="b">
        <f t="shared" si="2"/>
        <v>1</v>
      </c>
      <c r="H167" s="19" t="b">
        <f>AND(J167&lt;&gt;"", T167&gt;75)</f>
        <v>1</v>
      </c>
      <c r="I167" s="6">
        <v>265468</v>
      </c>
      <c r="J167" s="11" t="s">
        <v>516</v>
      </c>
      <c r="K167" s="6" t="s">
        <v>247</v>
      </c>
      <c r="L167" s="13">
        <v>781747091055</v>
      </c>
      <c r="M167" s="6">
        <v>31161716</v>
      </c>
      <c r="O167" s="6">
        <v>219988</v>
      </c>
      <c r="P167" s="6" t="s">
        <v>517</v>
      </c>
      <c r="Q167" s="6" t="s">
        <v>247</v>
      </c>
      <c r="R167" s="6" t="s">
        <v>245</v>
      </c>
      <c r="S167" s="8">
        <v>0.83749871536589104</v>
      </c>
      <c r="T167" s="8">
        <v>99.374935768294506</v>
      </c>
      <c r="U167" s="7">
        <v>100</v>
      </c>
      <c r="V167" s="7">
        <v>100</v>
      </c>
    </row>
    <row r="168" spans="1:22" x14ac:dyDescent="0.3">
      <c r="A168" s="5">
        <v>897178</v>
      </c>
      <c r="B168" s="5" t="s">
        <v>518</v>
      </c>
      <c r="C168" s="5" t="s">
        <v>245</v>
      </c>
      <c r="D168" s="5">
        <v>325</v>
      </c>
      <c r="G168" s="19" t="b">
        <f t="shared" si="2"/>
        <v>1</v>
      </c>
      <c r="H168" s="19" t="b">
        <f>AND(J168&lt;&gt;"", T168&gt;75)</f>
        <v>0</v>
      </c>
      <c r="J168" s="6"/>
      <c r="Q168" s="6" t="s">
        <v>247</v>
      </c>
      <c r="R168" s="6" t="s">
        <v>245</v>
      </c>
      <c r="U168" s="7">
        <v>100</v>
      </c>
    </row>
    <row r="169" spans="1:22" x14ac:dyDescent="0.3">
      <c r="A169" s="5">
        <v>897179</v>
      </c>
      <c r="B169" s="5" t="s">
        <v>519</v>
      </c>
      <c r="G169" s="19" t="b">
        <f t="shared" si="2"/>
        <v>0</v>
      </c>
      <c r="H169" s="19" t="b">
        <f>AND(J169&lt;&gt;"", T169&gt;75)</f>
        <v>0</v>
      </c>
      <c r="J169" s="6"/>
    </row>
    <row r="170" spans="1:22" hidden="1" x14ac:dyDescent="0.3">
      <c r="A170" s="5">
        <v>897180</v>
      </c>
      <c r="B170" s="5" t="s">
        <v>520</v>
      </c>
      <c r="C170" s="5" t="s">
        <v>300</v>
      </c>
      <c r="D170" s="5" t="s">
        <v>521</v>
      </c>
      <c r="G170" s="19" t="b">
        <f t="shared" si="2"/>
        <v>1</v>
      </c>
      <c r="H170" s="19" t="b">
        <f>AND(J170&lt;&gt;"", T170&gt;75)</f>
        <v>1</v>
      </c>
      <c r="I170" s="6">
        <v>337083</v>
      </c>
      <c r="J170" s="11" t="s">
        <v>521</v>
      </c>
      <c r="K170" s="6" t="s">
        <v>303</v>
      </c>
      <c r="L170" s="13">
        <v>783510597504</v>
      </c>
      <c r="M170" s="6">
        <v>39121311</v>
      </c>
      <c r="N170" s="6" t="s">
        <v>522</v>
      </c>
      <c r="O170" s="6">
        <v>269584</v>
      </c>
      <c r="P170" s="6" t="s">
        <v>523</v>
      </c>
      <c r="Q170" s="6" t="s">
        <v>303</v>
      </c>
      <c r="R170" s="6" t="s">
        <v>300</v>
      </c>
      <c r="S170" s="8">
        <v>0.99526304691689904</v>
      </c>
      <c r="T170" s="8">
        <v>97.263152345844901</v>
      </c>
      <c r="U170" s="8">
        <v>81.263152345844901</v>
      </c>
      <c r="V170" s="7">
        <v>100</v>
      </c>
    </row>
    <row r="171" spans="1:22" x14ac:dyDescent="0.3">
      <c r="A171" s="5">
        <v>897181</v>
      </c>
      <c r="B171" s="5" t="s">
        <v>524</v>
      </c>
      <c r="G171" s="19" t="b">
        <f t="shared" si="2"/>
        <v>1</v>
      </c>
      <c r="H171" s="19" t="b">
        <f>AND(J171&lt;&gt;"", T171&gt;75)</f>
        <v>0</v>
      </c>
      <c r="J171" s="6"/>
      <c r="Q171" s="6" t="s">
        <v>84</v>
      </c>
      <c r="R171" s="6" t="s">
        <v>84</v>
      </c>
      <c r="U171" s="7">
        <v>80</v>
      </c>
    </row>
    <row r="172" spans="1:22" x14ac:dyDescent="0.3">
      <c r="A172" s="5">
        <v>897182</v>
      </c>
      <c r="B172" s="5" t="s">
        <v>525</v>
      </c>
      <c r="G172" s="19" t="b">
        <f t="shared" si="2"/>
        <v>1</v>
      </c>
      <c r="H172" s="19" t="b">
        <f>AND(J172&lt;&gt;"", T172&gt;75)</f>
        <v>0</v>
      </c>
      <c r="J172" s="6"/>
      <c r="Q172" s="6" t="s">
        <v>84</v>
      </c>
      <c r="R172" s="6" t="s">
        <v>84</v>
      </c>
      <c r="U172" s="7">
        <v>80</v>
      </c>
    </row>
    <row r="173" spans="1:22" x14ac:dyDescent="0.3">
      <c r="A173" s="5">
        <v>897183</v>
      </c>
      <c r="B173" s="5" t="s">
        <v>526</v>
      </c>
      <c r="D173" s="5" t="s">
        <v>527</v>
      </c>
      <c r="G173" s="19" t="b">
        <f t="shared" si="2"/>
        <v>0</v>
      </c>
      <c r="H173" s="19" t="b">
        <f>AND(J173&lt;&gt;"", T173&gt;75)</f>
        <v>0</v>
      </c>
      <c r="J173" s="6"/>
    </row>
    <row r="174" spans="1:22" x14ac:dyDescent="0.3">
      <c r="A174" s="5">
        <v>897185</v>
      </c>
      <c r="B174" s="5" t="s">
        <v>528</v>
      </c>
      <c r="D174" s="5" t="s">
        <v>529</v>
      </c>
      <c r="G174" s="19" t="b">
        <f t="shared" si="2"/>
        <v>0</v>
      </c>
      <c r="H174" s="19" t="b">
        <f>AND(J174&lt;&gt;"", T174&gt;75)</f>
        <v>0</v>
      </c>
      <c r="J174" s="6"/>
    </row>
    <row r="175" spans="1:22" x14ac:dyDescent="0.3">
      <c r="A175" s="5">
        <v>897187</v>
      </c>
      <c r="B175" s="5" t="s">
        <v>530</v>
      </c>
      <c r="G175" s="19" t="b">
        <f t="shared" si="2"/>
        <v>1</v>
      </c>
      <c r="H175" s="19" t="b">
        <f>AND(J175&lt;&gt;"", T175&gt;75)</f>
        <v>0</v>
      </c>
      <c r="J175" s="6"/>
      <c r="Q175" s="6" t="s">
        <v>531</v>
      </c>
      <c r="R175" s="6" t="s">
        <v>531</v>
      </c>
      <c r="U175" s="7">
        <v>95</v>
      </c>
    </row>
    <row r="176" spans="1:22" x14ac:dyDescent="0.3">
      <c r="A176" s="5">
        <v>897189</v>
      </c>
      <c r="B176" s="5" t="s">
        <v>532</v>
      </c>
      <c r="C176" s="5" t="s">
        <v>533</v>
      </c>
      <c r="D176" s="5" t="s">
        <v>534</v>
      </c>
      <c r="G176" s="19" t="b">
        <f t="shared" si="2"/>
        <v>1</v>
      </c>
      <c r="H176" s="19" t="b">
        <f>AND(J176&lt;&gt;"", T176&gt;75)</f>
        <v>0</v>
      </c>
      <c r="J176" s="6"/>
      <c r="Q176" s="6" t="s">
        <v>535</v>
      </c>
      <c r="R176" s="6" t="s">
        <v>533</v>
      </c>
      <c r="U176" s="7">
        <v>100</v>
      </c>
    </row>
    <row r="177" spans="1:22" hidden="1" x14ac:dyDescent="0.3">
      <c r="A177" s="5">
        <v>897190</v>
      </c>
      <c r="B177" s="5" t="s">
        <v>536</v>
      </c>
      <c r="C177" s="5" t="s">
        <v>537</v>
      </c>
      <c r="D177" s="5" t="s">
        <v>538</v>
      </c>
      <c r="G177" s="19" t="b">
        <f t="shared" si="2"/>
        <v>1</v>
      </c>
      <c r="H177" s="19" t="b">
        <f>AND(J177&lt;&gt;"", T177&gt;75)</f>
        <v>1</v>
      </c>
      <c r="I177" s="6">
        <v>341906</v>
      </c>
      <c r="J177" s="11" t="s">
        <v>539</v>
      </c>
      <c r="K177" s="6" t="s">
        <v>540</v>
      </c>
      <c r="L177" s="14" t="s">
        <v>541</v>
      </c>
      <c r="M177" s="6">
        <v>43223300</v>
      </c>
      <c r="N177" s="6" t="s">
        <v>542</v>
      </c>
      <c r="O177" s="6">
        <v>268110</v>
      </c>
      <c r="P177" s="6" t="s">
        <v>543</v>
      </c>
      <c r="Q177" s="6" t="s">
        <v>540</v>
      </c>
      <c r="R177" s="6" t="s">
        <v>537</v>
      </c>
      <c r="S177" s="8">
        <v>0.917547447237822</v>
      </c>
      <c r="T177" s="7">
        <v>100</v>
      </c>
      <c r="U177" s="7">
        <v>100</v>
      </c>
      <c r="V177" s="7">
        <v>100</v>
      </c>
    </row>
    <row r="178" spans="1:22" x14ac:dyDescent="0.3">
      <c r="A178" s="5">
        <v>897192</v>
      </c>
      <c r="B178" s="5" t="s">
        <v>544</v>
      </c>
      <c r="C178" s="5" t="s">
        <v>545</v>
      </c>
      <c r="D178" s="5" t="s">
        <v>546</v>
      </c>
      <c r="G178" s="19" t="b">
        <f t="shared" si="2"/>
        <v>1</v>
      </c>
      <c r="H178" s="19" t="b">
        <f>AND(J178&lt;&gt;"", T178&gt;75)</f>
        <v>0</v>
      </c>
      <c r="J178" s="6"/>
      <c r="Q178" s="6" t="s">
        <v>547</v>
      </c>
      <c r="R178" s="6" t="s">
        <v>545</v>
      </c>
      <c r="U178" s="7">
        <v>100</v>
      </c>
    </row>
    <row r="179" spans="1:22" x14ac:dyDescent="0.3">
      <c r="A179" s="5">
        <v>897193</v>
      </c>
      <c r="B179" s="5" t="s">
        <v>548</v>
      </c>
      <c r="C179" s="5" t="s">
        <v>549</v>
      </c>
      <c r="D179" s="5" t="s">
        <v>550</v>
      </c>
      <c r="G179" s="19" t="b">
        <f t="shared" si="2"/>
        <v>1</v>
      </c>
      <c r="H179" s="19" t="b">
        <f>AND(J179&lt;&gt;"", T179&gt;75)</f>
        <v>0</v>
      </c>
      <c r="J179" s="6"/>
      <c r="Q179" s="6" t="s">
        <v>551</v>
      </c>
      <c r="R179" s="6" t="s">
        <v>551</v>
      </c>
      <c r="U179" s="7">
        <v>95</v>
      </c>
    </row>
    <row r="180" spans="1:22" hidden="1" x14ac:dyDescent="0.3">
      <c r="A180" s="5">
        <v>897195</v>
      </c>
      <c r="B180" s="5" t="s">
        <v>552</v>
      </c>
      <c r="C180" s="5" t="s">
        <v>370</v>
      </c>
      <c r="D180" s="5" t="s">
        <v>553</v>
      </c>
      <c r="E180" s="5" t="s">
        <v>554</v>
      </c>
      <c r="G180" s="19" t="b">
        <f t="shared" si="2"/>
        <v>1</v>
      </c>
      <c r="H180" s="19" t="b">
        <f>AND(J180&lt;&gt;"", T180&gt;75)</f>
        <v>1</v>
      </c>
      <c r="I180" s="6">
        <v>211186</v>
      </c>
      <c r="J180" s="11" t="s">
        <v>553</v>
      </c>
      <c r="K180" s="6" t="s">
        <v>281</v>
      </c>
      <c r="L180" s="13">
        <v>781002168461</v>
      </c>
      <c r="M180" s="6">
        <v>31161609</v>
      </c>
      <c r="O180" s="6">
        <v>44750</v>
      </c>
      <c r="P180" s="6" t="s">
        <v>555</v>
      </c>
      <c r="Q180" s="6" t="s">
        <v>281</v>
      </c>
      <c r="R180" s="6" t="s">
        <v>370</v>
      </c>
      <c r="S180" s="7">
        <v>0.95122885377522703</v>
      </c>
      <c r="T180" s="7">
        <v>100</v>
      </c>
      <c r="U180" s="7">
        <v>100</v>
      </c>
      <c r="V180" s="7">
        <v>100</v>
      </c>
    </row>
    <row r="181" spans="1:22" hidden="1" x14ac:dyDescent="0.3">
      <c r="A181" s="5">
        <v>897196</v>
      </c>
      <c r="B181" s="5" t="s">
        <v>556</v>
      </c>
      <c r="C181" s="5" t="s">
        <v>471</v>
      </c>
      <c r="D181" s="5" t="s">
        <v>557</v>
      </c>
      <c r="E181" s="5" t="s">
        <v>558</v>
      </c>
      <c r="G181" s="19" t="b">
        <f t="shared" si="2"/>
        <v>1</v>
      </c>
      <c r="H181" s="19" t="b">
        <f>AND(J181&lt;&gt;"", T181&gt;75)</f>
        <v>1</v>
      </c>
      <c r="I181" s="6">
        <v>336605</v>
      </c>
      <c r="J181" s="11" t="s">
        <v>559</v>
      </c>
      <c r="K181" s="6" t="s">
        <v>115</v>
      </c>
      <c r="L181" s="14" t="s">
        <v>560</v>
      </c>
      <c r="M181" s="6">
        <v>31201500</v>
      </c>
      <c r="N181" s="6" t="s">
        <v>558</v>
      </c>
      <c r="O181" s="6">
        <v>269354</v>
      </c>
      <c r="P181" s="6" t="s">
        <v>561</v>
      </c>
      <c r="Q181" s="6" t="s">
        <v>115</v>
      </c>
      <c r="R181" s="6" t="s">
        <v>115</v>
      </c>
      <c r="S181" s="8">
        <v>0.95635668481057201</v>
      </c>
      <c r="T181" s="7">
        <v>100</v>
      </c>
      <c r="U181" s="7">
        <v>100</v>
      </c>
      <c r="V181" s="7">
        <v>100</v>
      </c>
    </row>
    <row r="182" spans="1:22" hidden="1" x14ac:dyDescent="0.3">
      <c r="A182" s="5">
        <v>897197</v>
      </c>
      <c r="B182" s="5" t="s">
        <v>562</v>
      </c>
      <c r="C182" s="5" t="s">
        <v>563</v>
      </c>
      <c r="D182" s="5">
        <v>31086</v>
      </c>
      <c r="E182" s="5" t="s">
        <v>564</v>
      </c>
      <c r="G182" s="19" t="b">
        <f t="shared" si="2"/>
        <v>0</v>
      </c>
      <c r="H182" s="19" t="b">
        <f>AND(J182&lt;&gt;"", T182&gt;75)</f>
        <v>0</v>
      </c>
      <c r="I182" s="6">
        <v>297577</v>
      </c>
      <c r="J182" s="6">
        <v>31086</v>
      </c>
      <c r="K182" s="6" t="s">
        <v>565</v>
      </c>
      <c r="L182" s="13">
        <v>783250310869</v>
      </c>
      <c r="M182" s="6">
        <v>27113101</v>
      </c>
      <c r="O182" s="6">
        <v>101803</v>
      </c>
      <c r="P182" s="6" t="s">
        <v>566</v>
      </c>
      <c r="Q182" s="6" t="s">
        <v>565</v>
      </c>
      <c r="S182" s="8">
        <v>0.43503139567156102</v>
      </c>
      <c r="T182" s="8">
        <v>44.251569783577999</v>
      </c>
      <c r="U182" s="8">
        <v>20.251569783577999</v>
      </c>
      <c r="V182" s="7">
        <v>0</v>
      </c>
    </row>
    <row r="183" spans="1:22" x14ac:dyDescent="0.3">
      <c r="A183" s="5">
        <v>897199</v>
      </c>
      <c r="B183" s="5" t="s">
        <v>567</v>
      </c>
      <c r="C183" s="5" t="s">
        <v>568</v>
      </c>
      <c r="D183" s="5" t="s">
        <v>569</v>
      </c>
      <c r="G183" s="19" t="b">
        <f t="shared" si="2"/>
        <v>1</v>
      </c>
      <c r="H183" s="19" t="b">
        <f>AND(J183&lt;&gt;"", T183&gt;75)</f>
        <v>0</v>
      </c>
      <c r="J183" s="6"/>
      <c r="Q183" s="6" t="s">
        <v>570</v>
      </c>
      <c r="R183" s="6" t="s">
        <v>568</v>
      </c>
      <c r="U183" s="7">
        <v>100</v>
      </c>
    </row>
    <row r="184" spans="1:22" x14ac:dyDescent="0.3">
      <c r="A184" s="5">
        <v>897200</v>
      </c>
      <c r="B184" s="5" t="s">
        <v>571</v>
      </c>
      <c r="C184" s="5" t="s">
        <v>572</v>
      </c>
      <c r="D184" s="5" t="s">
        <v>573</v>
      </c>
      <c r="G184" s="19" t="b">
        <f t="shared" si="2"/>
        <v>1</v>
      </c>
      <c r="H184" s="19" t="b">
        <f>AND(J184&lt;&gt;"", T184&gt;75)</f>
        <v>0</v>
      </c>
      <c r="J184" s="6"/>
      <c r="Q184" s="6" t="s">
        <v>574</v>
      </c>
      <c r="R184" s="6" t="s">
        <v>572</v>
      </c>
      <c r="U184" s="7">
        <v>100</v>
      </c>
    </row>
    <row r="185" spans="1:22" x14ac:dyDescent="0.3">
      <c r="A185" s="5">
        <v>897201</v>
      </c>
      <c r="B185" s="5" t="s">
        <v>575</v>
      </c>
      <c r="C185" s="5" t="s">
        <v>572</v>
      </c>
      <c r="D185" s="5" t="s">
        <v>576</v>
      </c>
      <c r="G185" s="19" t="b">
        <f t="shared" si="2"/>
        <v>1</v>
      </c>
      <c r="H185" s="19" t="b">
        <f>AND(J185&lt;&gt;"", T185&gt;75)</f>
        <v>0</v>
      </c>
      <c r="J185" s="6"/>
      <c r="Q185" s="6" t="s">
        <v>574</v>
      </c>
      <c r="R185" s="6" t="s">
        <v>572</v>
      </c>
      <c r="U185" s="7">
        <v>100</v>
      </c>
    </row>
    <row r="186" spans="1:22" x14ac:dyDescent="0.3">
      <c r="A186" s="5">
        <v>897202</v>
      </c>
      <c r="B186" s="5" t="s">
        <v>577</v>
      </c>
      <c r="C186" s="5" t="s">
        <v>578</v>
      </c>
      <c r="D186" s="5" t="s">
        <v>579</v>
      </c>
      <c r="G186" s="19" t="b">
        <f t="shared" si="2"/>
        <v>1</v>
      </c>
      <c r="H186" s="19" t="b">
        <f>AND(J186&lt;&gt;"", T186&gt;75)</f>
        <v>0</v>
      </c>
      <c r="J186" s="6"/>
      <c r="Q186" s="6" t="s">
        <v>273</v>
      </c>
      <c r="R186" s="6" t="s">
        <v>578</v>
      </c>
      <c r="U186" s="7">
        <v>50</v>
      </c>
    </row>
    <row r="187" spans="1:22" x14ac:dyDescent="0.3">
      <c r="A187" s="5">
        <v>897203</v>
      </c>
      <c r="B187" s="5" t="s">
        <v>580</v>
      </c>
      <c r="C187" s="5" t="s">
        <v>572</v>
      </c>
      <c r="D187" s="5" t="s">
        <v>581</v>
      </c>
      <c r="E187" s="5" t="s">
        <v>582</v>
      </c>
      <c r="G187" s="19" t="b">
        <f t="shared" si="2"/>
        <v>1</v>
      </c>
      <c r="H187" s="19" t="b">
        <f>AND(J187&lt;&gt;"", T187&gt;75)</f>
        <v>0</v>
      </c>
      <c r="J187" s="6"/>
      <c r="Q187" s="6" t="s">
        <v>574</v>
      </c>
      <c r="R187" s="6" t="s">
        <v>572</v>
      </c>
      <c r="U187" s="7">
        <v>100</v>
      </c>
    </row>
    <row r="188" spans="1:22" x14ac:dyDescent="0.3">
      <c r="A188" s="5">
        <v>897206</v>
      </c>
      <c r="B188" s="5" t="s">
        <v>583</v>
      </c>
      <c r="C188" s="5" t="s">
        <v>584</v>
      </c>
      <c r="D188" s="5" t="s">
        <v>585</v>
      </c>
      <c r="G188" s="19" t="b">
        <f t="shared" si="2"/>
        <v>1</v>
      </c>
      <c r="H188" s="19" t="b">
        <f>AND(J188&lt;&gt;"", T188&gt;75)</f>
        <v>0</v>
      </c>
      <c r="J188" s="6"/>
      <c r="Q188" s="6" t="s">
        <v>584</v>
      </c>
      <c r="R188" s="6" t="s">
        <v>584</v>
      </c>
      <c r="U188" s="7">
        <v>60</v>
      </c>
    </row>
    <row r="189" spans="1:22" x14ac:dyDescent="0.3">
      <c r="A189" s="5">
        <v>897207</v>
      </c>
      <c r="B189" s="5" t="s">
        <v>586</v>
      </c>
      <c r="C189" s="5" t="s">
        <v>584</v>
      </c>
      <c r="D189" s="5" t="s">
        <v>587</v>
      </c>
      <c r="G189" s="19" t="b">
        <f t="shared" si="2"/>
        <v>1</v>
      </c>
      <c r="H189" s="19" t="b">
        <f>AND(J189&lt;&gt;"", T189&gt;75)</f>
        <v>0</v>
      </c>
      <c r="J189" s="6"/>
      <c r="Q189" s="6" t="s">
        <v>584</v>
      </c>
      <c r="R189" s="6" t="s">
        <v>584</v>
      </c>
      <c r="U189" s="7">
        <v>60</v>
      </c>
    </row>
    <row r="190" spans="1:22" x14ac:dyDescent="0.3">
      <c r="A190" s="5">
        <v>897208</v>
      </c>
      <c r="B190" s="5" t="s">
        <v>588</v>
      </c>
      <c r="C190" s="5" t="s">
        <v>270</v>
      </c>
      <c r="D190" s="5" t="s">
        <v>589</v>
      </c>
      <c r="G190" s="19" t="b">
        <f t="shared" si="2"/>
        <v>1</v>
      </c>
      <c r="H190" s="19" t="b">
        <f>AND(J190&lt;&gt;"", T190&gt;75)</f>
        <v>0</v>
      </c>
      <c r="J190" s="6"/>
      <c r="Q190" s="6" t="s">
        <v>273</v>
      </c>
      <c r="R190" s="6" t="s">
        <v>270</v>
      </c>
      <c r="U190" s="7">
        <v>100</v>
      </c>
    </row>
    <row r="191" spans="1:22" x14ac:dyDescent="0.3">
      <c r="A191" s="5">
        <v>897209</v>
      </c>
      <c r="B191" s="5" t="s">
        <v>590</v>
      </c>
      <c r="C191" s="5" t="s">
        <v>591</v>
      </c>
      <c r="D191" s="5" t="s">
        <v>592</v>
      </c>
      <c r="G191" s="19" t="b">
        <f t="shared" si="2"/>
        <v>1</v>
      </c>
      <c r="H191" s="19" t="b">
        <f>AND(J191&lt;&gt;"", T191&gt;75)</f>
        <v>0</v>
      </c>
      <c r="J191" s="6"/>
      <c r="Q191" s="6" t="s">
        <v>593</v>
      </c>
      <c r="R191" s="6" t="s">
        <v>591</v>
      </c>
      <c r="U191" s="7">
        <v>100</v>
      </c>
    </row>
    <row r="192" spans="1:22" x14ac:dyDescent="0.3">
      <c r="A192" s="5">
        <v>897210</v>
      </c>
      <c r="B192" s="5" t="s">
        <v>594</v>
      </c>
      <c r="C192" s="5" t="s">
        <v>595</v>
      </c>
      <c r="D192" s="5" t="s">
        <v>596</v>
      </c>
      <c r="G192" s="19" t="b">
        <f t="shared" si="2"/>
        <v>1</v>
      </c>
      <c r="H192" s="19" t="b">
        <f>AND(J192&lt;&gt;"", T192&gt;75)</f>
        <v>0</v>
      </c>
      <c r="J192" s="6"/>
      <c r="Q192" s="6" t="s">
        <v>105</v>
      </c>
      <c r="R192" s="6" t="s">
        <v>597</v>
      </c>
      <c r="U192" s="7">
        <v>100</v>
      </c>
    </row>
    <row r="193" spans="1:22" x14ac:dyDescent="0.3">
      <c r="A193" s="5">
        <v>897211</v>
      </c>
      <c r="B193" s="5" t="s">
        <v>598</v>
      </c>
      <c r="C193" s="5" t="s">
        <v>591</v>
      </c>
      <c r="D193" s="5" t="s">
        <v>182</v>
      </c>
      <c r="E193" s="5" t="s">
        <v>183</v>
      </c>
      <c r="G193" s="19" t="b">
        <f t="shared" si="2"/>
        <v>1</v>
      </c>
      <c r="H193" s="19" t="b">
        <f>AND(J193&lt;&gt;"", T193&gt;75)</f>
        <v>0</v>
      </c>
      <c r="J193" s="6"/>
      <c r="Q193" s="6" t="s">
        <v>593</v>
      </c>
      <c r="R193" s="6" t="s">
        <v>591</v>
      </c>
      <c r="U193" s="7">
        <v>100</v>
      </c>
    </row>
    <row r="194" spans="1:22" x14ac:dyDescent="0.3">
      <c r="A194" s="5">
        <v>897212</v>
      </c>
      <c r="B194" s="5" t="s">
        <v>599</v>
      </c>
      <c r="C194" s="5" t="s">
        <v>240</v>
      </c>
      <c r="D194" s="5" t="s">
        <v>600</v>
      </c>
      <c r="E194" s="5" t="s">
        <v>601</v>
      </c>
      <c r="G194" s="19" t="b">
        <f t="shared" si="2"/>
        <v>1</v>
      </c>
      <c r="H194" s="19" t="b">
        <f>AND(J194&lt;&gt;"", T194&gt;75)</f>
        <v>0</v>
      </c>
      <c r="J194" s="6"/>
      <c r="Q194" s="6" t="s">
        <v>39</v>
      </c>
      <c r="R194" s="6" t="s">
        <v>240</v>
      </c>
      <c r="U194" s="7">
        <v>100</v>
      </c>
    </row>
    <row r="195" spans="1:22" x14ac:dyDescent="0.3">
      <c r="A195" s="5">
        <v>897213</v>
      </c>
      <c r="B195" s="5" t="s">
        <v>602</v>
      </c>
      <c r="C195" s="5" t="s">
        <v>603</v>
      </c>
      <c r="G195" s="19" t="b">
        <f t="shared" ref="G195:G258" si="3">(R195&lt;&gt;"")</f>
        <v>1</v>
      </c>
      <c r="H195" s="19" t="b">
        <f>AND(J195&lt;&gt;"", T195&gt;75)</f>
        <v>0</v>
      </c>
      <c r="J195" s="6"/>
      <c r="Q195" s="6" t="s">
        <v>604</v>
      </c>
      <c r="R195" s="6" t="s">
        <v>603</v>
      </c>
      <c r="U195" s="7">
        <v>100</v>
      </c>
    </row>
    <row r="196" spans="1:22" hidden="1" x14ac:dyDescent="0.3">
      <c r="A196" s="5">
        <v>897214</v>
      </c>
      <c r="B196" s="5" t="s">
        <v>605</v>
      </c>
      <c r="C196" s="5" t="s">
        <v>254</v>
      </c>
      <c r="D196" s="5" t="s">
        <v>606</v>
      </c>
      <c r="E196" s="5" t="s">
        <v>607</v>
      </c>
      <c r="G196" s="19" t="b">
        <f t="shared" si="3"/>
        <v>0</v>
      </c>
      <c r="H196" s="19" t="b">
        <f>AND(J196&lt;&gt;"", T196&gt;75)</f>
        <v>1</v>
      </c>
      <c r="I196" s="6">
        <v>337819</v>
      </c>
      <c r="J196" s="11" t="s">
        <v>606</v>
      </c>
      <c r="K196" s="6" t="s">
        <v>308</v>
      </c>
      <c r="L196" s="13">
        <v>784564900500</v>
      </c>
      <c r="M196" s="6">
        <v>39121420</v>
      </c>
      <c r="N196" s="6" t="s">
        <v>607</v>
      </c>
      <c r="O196" s="6">
        <v>255543</v>
      </c>
      <c r="P196" s="6" t="s">
        <v>608</v>
      </c>
      <c r="Q196" s="6" t="s">
        <v>308</v>
      </c>
      <c r="S196" s="8">
        <v>0.90532694469291897</v>
      </c>
      <c r="T196" s="8">
        <v>77.766347234645906</v>
      </c>
      <c r="U196" s="8">
        <v>49.766347234645899</v>
      </c>
      <c r="V196" s="8">
        <v>93.065388938583794</v>
      </c>
    </row>
    <row r="197" spans="1:22" hidden="1" x14ac:dyDescent="0.3">
      <c r="A197" s="5">
        <v>897215</v>
      </c>
      <c r="B197" s="5" t="s">
        <v>609</v>
      </c>
      <c r="C197" s="5" t="s">
        <v>254</v>
      </c>
      <c r="D197" s="5" t="s">
        <v>610</v>
      </c>
      <c r="E197" s="5" t="s">
        <v>611</v>
      </c>
      <c r="G197" s="19" t="b">
        <f t="shared" si="3"/>
        <v>0</v>
      </c>
      <c r="H197" s="19" t="b">
        <f>AND(J197&lt;&gt;"", T197&gt;75)</f>
        <v>0</v>
      </c>
      <c r="I197" s="6">
        <v>101977</v>
      </c>
      <c r="J197" s="6" t="s">
        <v>610</v>
      </c>
      <c r="K197" s="6" t="s">
        <v>326</v>
      </c>
      <c r="L197" s="13">
        <v>784297323201</v>
      </c>
      <c r="M197" s="6">
        <v>39131708</v>
      </c>
      <c r="O197" s="6">
        <v>16460</v>
      </c>
      <c r="P197" s="6" t="s">
        <v>612</v>
      </c>
      <c r="Q197" s="6" t="s">
        <v>326</v>
      </c>
      <c r="S197" s="8">
        <v>0.55124142678514898</v>
      </c>
      <c r="T197" s="8">
        <v>50.0620713392574</v>
      </c>
      <c r="U197" s="8">
        <v>26.0620713392574</v>
      </c>
      <c r="V197" s="8">
        <v>16.2482853570299</v>
      </c>
    </row>
    <row r="198" spans="1:22" x14ac:dyDescent="0.3">
      <c r="A198" s="5">
        <v>897216</v>
      </c>
      <c r="B198" s="5" t="s">
        <v>613</v>
      </c>
      <c r="C198" s="5" t="s">
        <v>603</v>
      </c>
      <c r="G198" s="19" t="b">
        <f t="shared" si="3"/>
        <v>1</v>
      </c>
      <c r="H198" s="19" t="b">
        <f>AND(J198&lt;&gt;"", T198&gt;75)</f>
        <v>0</v>
      </c>
      <c r="J198" s="6"/>
      <c r="Q198" s="6" t="s">
        <v>604</v>
      </c>
      <c r="R198" s="6" t="s">
        <v>603</v>
      </c>
      <c r="U198" s="7">
        <v>100</v>
      </c>
    </row>
    <row r="199" spans="1:22" x14ac:dyDescent="0.3">
      <c r="A199" s="5">
        <v>897217</v>
      </c>
      <c r="B199" s="5" t="s">
        <v>614</v>
      </c>
      <c r="C199" s="5" t="s">
        <v>615</v>
      </c>
      <c r="D199" s="5" t="s">
        <v>616</v>
      </c>
      <c r="E199" s="5" t="s">
        <v>617</v>
      </c>
      <c r="G199" s="19" t="b">
        <f t="shared" si="3"/>
        <v>1</v>
      </c>
      <c r="H199" s="19" t="b">
        <f>AND(J199&lt;&gt;"", T199&gt;75)</f>
        <v>0</v>
      </c>
      <c r="J199" s="6"/>
      <c r="Q199" s="6" t="s">
        <v>618</v>
      </c>
      <c r="R199" s="6" t="s">
        <v>615</v>
      </c>
      <c r="U199" s="7">
        <v>100</v>
      </c>
    </row>
    <row r="200" spans="1:22" hidden="1" x14ac:dyDescent="0.3">
      <c r="A200" s="5">
        <v>897218</v>
      </c>
      <c r="B200" s="5" t="s">
        <v>619</v>
      </c>
      <c r="C200" s="5" t="s">
        <v>471</v>
      </c>
      <c r="D200" s="5" t="s">
        <v>620</v>
      </c>
      <c r="E200" s="5" t="s">
        <v>621</v>
      </c>
      <c r="G200" s="19" t="b">
        <f t="shared" si="3"/>
        <v>1</v>
      </c>
      <c r="H200" s="19" t="b">
        <f>AND(J200&lt;&gt;"", T200&gt;75)</f>
        <v>1</v>
      </c>
      <c r="I200" s="6">
        <v>336306</v>
      </c>
      <c r="J200" s="11" t="s">
        <v>622</v>
      </c>
      <c r="K200" s="6" t="s">
        <v>115</v>
      </c>
      <c r="L200" s="14" t="s">
        <v>623</v>
      </c>
      <c r="M200" s="6">
        <v>39121703</v>
      </c>
      <c r="N200" s="6" t="s">
        <v>621</v>
      </c>
      <c r="O200" s="6">
        <v>269253</v>
      </c>
      <c r="P200" s="6" t="s">
        <v>624</v>
      </c>
      <c r="Q200" s="6" t="s">
        <v>115</v>
      </c>
      <c r="R200" s="6" t="s">
        <v>115</v>
      </c>
      <c r="S200" s="7">
        <v>0.99170545899084905</v>
      </c>
      <c r="T200" s="7">
        <v>100</v>
      </c>
      <c r="U200" s="7">
        <v>100</v>
      </c>
      <c r="V200" s="7">
        <v>100</v>
      </c>
    </row>
    <row r="201" spans="1:22" x14ac:dyDescent="0.3">
      <c r="A201" s="5">
        <v>897219</v>
      </c>
      <c r="B201" s="5" t="s">
        <v>625</v>
      </c>
      <c r="C201" s="5" t="s">
        <v>615</v>
      </c>
      <c r="D201" s="5" t="s">
        <v>626</v>
      </c>
      <c r="E201" s="5" t="s">
        <v>627</v>
      </c>
      <c r="G201" s="19" t="b">
        <f t="shared" si="3"/>
        <v>1</v>
      </c>
      <c r="H201" s="19" t="b">
        <f>AND(J201&lt;&gt;"", T201&gt;75)</f>
        <v>0</v>
      </c>
      <c r="J201" s="6"/>
      <c r="Q201" s="6" t="s">
        <v>618</v>
      </c>
      <c r="R201" s="6" t="s">
        <v>615</v>
      </c>
      <c r="U201" s="7">
        <v>100</v>
      </c>
    </row>
    <row r="202" spans="1:22" hidden="1" x14ac:dyDescent="0.3">
      <c r="A202" s="5">
        <v>897220</v>
      </c>
      <c r="B202" s="5" t="s">
        <v>628</v>
      </c>
      <c r="C202" s="5" t="s">
        <v>591</v>
      </c>
      <c r="D202" s="5" t="s">
        <v>629</v>
      </c>
      <c r="E202" s="5" t="s">
        <v>630</v>
      </c>
      <c r="G202" s="19" t="b">
        <f t="shared" si="3"/>
        <v>1</v>
      </c>
      <c r="H202" s="19" t="b">
        <f>AND(J202&lt;&gt;"", T202&gt;75)</f>
        <v>1</v>
      </c>
      <c r="I202" s="6">
        <v>341219</v>
      </c>
      <c r="J202" s="11" t="s">
        <v>631</v>
      </c>
      <c r="K202" s="6" t="s">
        <v>593</v>
      </c>
      <c r="L202" s="14" t="s">
        <v>632</v>
      </c>
      <c r="M202" s="6">
        <v>39121717</v>
      </c>
      <c r="N202" s="6" t="s">
        <v>630</v>
      </c>
      <c r="O202" s="6">
        <v>273102</v>
      </c>
      <c r="P202" s="6" t="s">
        <v>633</v>
      </c>
      <c r="Q202" s="6" t="s">
        <v>593</v>
      </c>
      <c r="R202" s="6" t="s">
        <v>591</v>
      </c>
      <c r="S202" s="8">
        <v>0.985151213133166</v>
      </c>
      <c r="T202" s="7">
        <v>100</v>
      </c>
      <c r="U202" s="7">
        <v>100</v>
      </c>
      <c r="V202" s="7">
        <v>100</v>
      </c>
    </row>
    <row r="203" spans="1:22" x14ac:dyDescent="0.3">
      <c r="A203" s="5">
        <v>897221</v>
      </c>
      <c r="B203" s="5" t="s">
        <v>634</v>
      </c>
      <c r="C203" s="5" t="s">
        <v>635</v>
      </c>
      <c r="D203" s="5" t="s">
        <v>636</v>
      </c>
      <c r="G203" s="19" t="b">
        <f t="shared" si="3"/>
        <v>1</v>
      </c>
      <c r="H203" s="19" t="b">
        <f>AND(J203&lt;&gt;"", T203&gt;75)</f>
        <v>0</v>
      </c>
      <c r="J203" s="6"/>
      <c r="Q203" s="6" t="s">
        <v>637</v>
      </c>
      <c r="R203" s="6" t="s">
        <v>638</v>
      </c>
      <c r="U203" s="7">
        <v>100</v>
      </c>
    </row>
    <row r="204" spans="1:22" x14ac:dyDescent="0.3">
      <c r="A204" s="5">
        <v>897222</v>
      </c>
      <c r="B204" s="5" t="s">
        <v>639</v>
      </c>
      <c r="C204" s="5" t="s">
        <v>270</v>
      </c>
      <c r="D204" s="5" t="s">
        <v>640</v>
      </c>
      <c r="E204" s="5" t="s">
        <v>641</v>
      </c>
      <c r="G204" s="19" t="b">
        <f t="shared" si="3"/>
        <v>1</v>
      </c>
      <c r="H204" s="19" t="b">
        <f>AND(J204&lt;&gt;"", T204&gt;75)</f>
        <v>0</v>
      </c>
      <c r="J204" s="6"/>
      <c r="Q204" s="6" t="s">
        <v>273</v>
      </c>
      <c r="R204" s="6" t="s">
        <v>270</v>
      </c>
      <c r="U204" s="7">
        <v>100</v>
      </c>
    </row>
    <row r="205" spans="1:22" x14ac:dyDescent="0.3">
      <c r="A205" s="5">
        <v>897223</v>
      </c>
      <c r="B205" s="5" t="s">
        <v>642</v>
      </c>
      <c r="C205" s="5" t="s">
        <v>643</v>
      </c>
      <c r="D205" s="5" t="s">
        <v>644</v>
      </c>
      <c r="G205" s="19" t="b">
        <f t="shared" si="3"/>
        <v>1</v>
      </c>
      <c r="H205" s="19" t="b">
        <f>AND(J205&lt;&gt;"", T205&gt;75)</f>
        <v>0</v>
      </c>
      <c r="J205" s="6"/>
      <c r="Q205" s="6" t="s">
        <v>645</v>
      </c>
      <c r="R205" s="6" t="s">
        <v>643</v>
      </c>
      <c r="U205" s="7">
        <v>100</v>
      </c>
    </row>
    <row r="206" spans="1:22" x14ac:dyDescent="0.3">
      <c r="A206" s="5">
        <v>897224</v>
      </c>
      <c r="B206" s="5" t="s">
        <v>646</v>
      </c>
      <c r="C206" s="5" t="s">
        <v>373</v>
      </c>
      <c r="D206" s="5" t="s">
        <v>647</v>
      </c>
      <c r="E206" s="5" t="s">
        <v>648</v>
      </c>
      <c r="G206" s="19" t="b">
        <f t="shared" si="3"/>
        <v>1</v>
      </c>
      <c r="H206" s="19" t="b">
        <f>AND(J206&lt;&gt;"", T206&gt;75)</f>
        <v>0</v>
      </c>
      <c r="J206" s="6"/>
      <c r="Q206" s="6" t="s">
        <v>376</v>
      </c>
      <c r="R206" s="6" t="s">
        <v>373</v>
      </c>
      <c r="U206" s="7">
        <v>100</v>
      </c>
    </row>
    <row r="207" spans="1:22" hidden="1" x14ac:dyDescent="0.3">
      <c r="A207" s="5">
        <v>897225</v>
      </c>
      <c r="B207" s="5" t="s">
        <v>649</v>
      </c>
      <c r="C207" s="5" t="s">
        <v>370</v>
      </c>
      <c r="D207" s="5" t="s">
        <v>650</v>
      </c>
      <c r="E207" s="5" t="s">
        <v>651</v>
      </c>
      <c r="G207" s="19" t="b">
        <f t="shared" si="3"/>
        <v>1</v>
      </c>
      <c r="H207" s="19" t="b">
        <f>AND(J207&lt;&gt;"", T207&gt;75)</f>
        <v>1</v>
      </c>
      <c r="I207" s="6">
        <v>213799</v>
      </c>
      <c r="J207" s="11" t="s">
        <v>650</v>
      </c>
      <c r="K207" s="6" t="s">
        <v>281</v>
      </c>
      <c r="L207" s="13">
        <v>781002173656</v>
      </c>
      <c r="M207" s="6">
        <v>31201712</v>
      </c>
      <c r="O207" s="6">
        <v>209013</v>
      </c>
      <c r="P207" s="6" t="s">
        <v>652</v>
      </c>
      <c r="Q207" s="6" t="s">
        <v>281</v>
      </c>
      <c r="R207" s="6" t="s">
        <v>370</v>
      </c>
      <c r="S207" s="8">
        <v>0.894460927969426</v>
      </c>
      <c r="T207" s="7">
        <v>100</v>
      </c>
      <c r="U207" s="7">
        <v>100</v>
      </c>
      <c r="V207" s="7">
        <v>100</v>
      </c>
    </row>
    <row r="208" spans="1:22" hidden="1" x14ac:dyDescent="0.3">
      <c r="A208" s="5">
        <v>897226</v>
      </c>
      <c r="B208" s="5" t="s">
        <v>653</v>
      </c>
      <c r="C208" s="5" t="s">
        <v>262</v>
      </c>
      <c r="D208" s="5">
        <v>615800</v>
      </c>
      <c r="E208" s="5" t="s">
        <v>654</v>
      </c>
      <c r="G208" s="19" t="b">
        <f t="shared" si="3"/>
        <v>1</v>
      </c>
      <c r="H208" s="19" t="b">
        <f>AND(J208&lt;&gt;"", T208&gt;75)</f>
        <v>1</v>
      </c>
      <c r="I208" s="6">
        <v>336110</v>
      </c>
      <c r="J208" s="11">
        <v>615800</v>
      </c>
      <c r="K208" s="6" t="s">
        <v>265</v>
      </c>
      <c r="L208" s="13">
        <v>782856306115</v>
      </c>
      <c r="M208" s="6">
        <v>39121613</v>
      </c>
      <c r="N208" s="6" t="s">
        <v>654</v>
      </c>
      <c r="O208" s="6">
        <v>269412</v>
      </c>
      <c r="P208" s="6" t="s">
        <v>655</v>
      </c>
      <c r="Q208" s="6" t="s">
        <v>265</v>
      </c>
      <c r="R208" s="6" t="s">
        <v>262</v>
      </c>
      <c r="S208" s="8">
        <v>0.94493391530474702</v>
      </c>
      <c r="T208" s="7">
        <v>100</v>
      </c>
      <c r="U208" s="7">
        <v>100</v>
      </c>
      <c r="V208" s="7">
        <v>100</v>
      </c>
    </row>
    <row r="209" spans="1:22" x14ac:dyDescent="0.3">
      <c r="A209" s="5">
        <v>897227</v>
      </c>
      <c r="B209" s="5" t="s">
        <v>656</v>
      </c>
      <c r="C209" s="5" t="s">
        <v>471</v>
      </c>
      <c r="D209" s="5" t="s">
        <v>657</v>
      </c>
      <c r="E209" s="5" t="s">
        <v>658</v>
      </c>
      <c r="G209" s="19" t="b">
        <f t="shared" si="3"/>
        <v>1</v>
      </c>
      <c r="H209" s="19" t="b">
        <f>AND(J209&lt;&gt;"", T209&gt;75)</f>
        <v>0</v>
      </c>
      <c r="J209" s="6"/>
      <c r="Q209" s="6" t="s">
        <v>115</v>
      </c>
      <c r="R209" s="6" t="s">
        <v>115</v>
      </c>
      <c r="U209" s="7">
        <v>60</v>
      </c>
    </row>
    <row r="210" spans="1:22" x14ac:dyDescent="0.3">
      <c r="A210" s="5">
        <v>897228</v>
      </c>
      <c r="B210" s="5" t="s">
        <v>659</v>
      </c>
      <c r="C210" s="5" t="s">
        <v>471</v>
      </c>
      <c r="D210" s="5" t="s">
        <v>660</v>
      </c>
      <c r="E210" s="5" t="s">
        <v>661</v>
      </c>
      <c r="G210" s="19" t="b">
        <f t="shared" si="3"/>
        <v>1</v>
      </c>
      <c r="H210" s="19" t="b">
        <f>AND(J210&lt;&gt;"", T210&gt;75)</f>
        <v>0</v>
      </c>
      <c r="J210" s="6"/>
      <c r="Q210" s="6" t="s">
        <v>115</v>
      </c>
      <c r="R210" s="6" t="s">
        <v>115</v>
      </c>
      <c r="U210" s="7">
        <v>60</v>
      </c>
    </row>
    <row r="211" spans="1:22" hidden="1" x14ac:dyDescent="0.3">
      <c r="A211" s="5">
        <v>897229</v>
      </c>
      <c r="B211" s="5" t="s">
        <v>662</v>
      </c>
      <c r="C211" s="5" t="s">
        <v>663</v>
      </c>
      <c r="D211" s="5" t="s">
        <v>664</v>
      </c>
      <c r="E211" s="5" t="s">
        <v>665</v>
      </c>
      <c r="G211" s="19" t="b">
        <f t="shared" si="3"/>
        <v>1</v>
      </c>
      <c r="H211" s="19" t="b">
        <f>AND(J211&lt;&gt;"", T211&gt;75)</f>
        <v>1</v>
      </c>
      <c r="I211" s="6">
        <v>336592</v>
      </c>
      <c r="J211" s="11">
        <v>30454</v>
      </c>
      <c r="K211" s="6" t="s">
        <v>565</v>
      </c>
      <c r="L211" s="13">
        <v>783250304547</v>
      </c>
      <c r="M211" s="6">
        <v>39121445</v>
      </c>
      <c r="N211" s="6" t="s">
        <v>665</v>
      </c>
      <c r="O211" s="6">
        <v>269244</v>
      </c>
      <c r="P211" s="6" t="s">
        <v>666</v>
      </c>
      <c r="Q211" s="6" t="s">
        <v>565</v>
      </c>
      <c r="R211" s="6" t="s">
        <v>663</v>
      </c>
      <c r="S211" s="7">
        <v>0.96247938565126401</v>
      </c>
      <c r="T211" s="7">
        <v>100</v>
      </c>
      <c r="U211" s="7">
        <v>100</v>
      </c>
      <c r="V211" s="7">
        <v>100</v>
      </c>
    </row>
    <row r="212" spans="1:22" hidden="1" x14ac:dyDescent="0.3">
      <c r="A212" s="5">
        <v>897230</v>
      </c>
      <c r="B212" s="5" t="s">
        <v>667</v>
      </c>
      <c r="C212" s="5" t="s">
        <v>373</v>
      </c>
      <c r="D212" s="5" t="s">
        <v>668</v>
      </c>
      <c r="E212" s="5" t="s">
        <v>669</v>
      </c>
      <c r="G212" s="19" t="b">
        <f t="shared" si="3"/>
        <v>1</v>
      </c>
      <c r="H212" s="19" t="b">
        <f>AND(J212&lt;&gt;"", T212&gt;75)</f>
        <v>0</v>
      </c>
      <c r="I212" s="6">
        <v>337455</v>
      </c>
      <c r="J212" s="6" t="s">
        <v>668</v>
      </c>
      <c r="K212" s="6" t="s">
        <v>376</v>
      </c>
      <c r="L212" s="13">
        <v>781810230961</v>
      </c>
      <c r="M212" s="6">
        <v>39121613</v>
      </c>
      <c r="N212" s="6" t="s">
        <v>669</v>
      </c>
      <c r="O212" s="6">
        <v>269450</v>
      </c>
      <c r="P212" s="6" t="s">
        <v>670</v>
      </c>
      <c r="Q212" s="6" t="s">
        <v>376</v>
      </c>
      <c r="R212" s="6" t="s">
        <v>373</v>
      </c>
      <c r="S212" s="8">
        <v>0.97514994228076401</v>
      </c>
      <c r="T212" s="8">
        <v>28.899780289604202</v>
      </c>
      <c r="U212" s="8">
        <v>54.899780289604202</v>
      </c>
      <c r="V212" s="7">
        <v>100</v>
      </c>
    </row>
    <row r="213" spans="1:22" x14ac:dyDescent="0.3">
      <c r="A213" s="5">
        <v>897231</v>
      </c>
      <c r="B213" s="5" t="s">
        <v>671</v>
      </c>
      <c r="C213" s="5" t="s">
        <v>270</v>
      </c>
      <c r="D213" s="5" t="s">
        <v>672</v>
      </c>
      <c r="E213" s="5" t="s">
        <v>673</v>
      </c>
      <c r="G213" s="19" t="b">
        <f t="shared" si="3"/>
        <v>1</v>
      </c>
      <c r="H213" s="19" t="b">
        <f>AND(J213&lt;&gt;"", T213&gt;75)</f>
        <v>0</v>
      </c>
      <c r="J213" s="6"/>
      <c r="Q213" s="6" t="s">
        <v>273</v>
      </c>
      <c r="R213" s="6" t="s">
        <v>270</v>
      </c>
      <c r="U213" s="7">
        <v>100</v>
      </c>
    </row>
    <row r="214" spans="1:22" x14ac:dyDescent="0.3">
      <c r="A214" s="5">
        <v>897232</v>
      </c>
      <c r="B214" s="5" t="s">
        <v>674</v>
      </c>
      <c r="C214" s="5" t="s">
        <v>675</v>
      </c>
      <c r="D214" s="5" t="s">
        <v>676</v>
      </c>
      <c r="E214" s="5" t="s">
        <v>677</v>
      </c>
      <c r="G214" s="19" t="b">
        <f t="shared" si="3"/>
        <v>1</v>
      </c>
      <c r="H214" s="19" t="b">
        <f>AND(J214&lt;&gt;"", T214&gt;75)</f>
        <v>0</v>
      </c>
      <c r="J214" s="6"/>
      <c r="Q214" s="6" t="s">
        <v>678</v>
      </c>
      <c r="R214" s="6" t="s">
        <v>675</v>
      </c>
      <c r="U214" s="7">
        <v>100</v>
      </c>
    </row>
    <row r="215" spans="1:22" hidden="1" x14ac:dyDescent="0.3">
      <c r="A215" s="5">
        <v>897233</v>
      </c>
      <c r="B215" s="5" t="s">
        <v>679</v>
      </c>
      <c r="C215" s="5" t="s">
        <v>471</v>
      </c>
      <c r="D215" s="5" t="s">
        <v>680</v>
      </c>
      <c r="E215" s="5" t="s">
        <v>681</v>
      </c>
      <c r="G215" s="19" t="b">
        <f t="shared" si="3"/>
        <v>1</v>
      </c>
      <c r="H215" s="19" t="b">
        <f>AND(J215&lt;&gt;"", T215&gt;75)</f>
        <v>1</v>
      </c>
      <c r="I215" s="6">
        <v>342152</v>
      </c>
      <c r="J215" s="11" t="s">
        <v>682</v>
      </c>
      <c r="K215" s="6" t="s">
        <v>115</v>
      </c>
      <c r="L215" s="14" t="s">
        <v>683</v>
      </c>
      <c r="M215" s="6">
        <v>31211704</v>
      </c>
      <c r="N215" s="6" t="s">
        <v>681</v>
      </c>
      <c r="O215" s="6">
        <v>273103</v>
      </c>
      <c r="P215" s="6" t="s">
        <v>684</v>
      </c>
      <c r="Q215" s="6" t="s">
        <v>115</v>
      </c>
      <c r="R215" s="6" t="s">
        <v>115</v>
      </c>
      <c r="S215" s="8">
        <v>0.99360698364714095</v>
      </c>
      <c r="T215" s="7">
        <v>100</v>
      </c>
      <c r="U215" s="7">
        <v>100</v>
      </c>
      <c r="V215" s="7">
        <v>100</v>
      </c>
    </row>
    <row r="216" spans="1:22" hidden="1" x14ac:dyDescent="0.3">
      <c r="A216" s="5">
        <v>897235</v>
      </c>
      <c r="B216" s="5" t="s">
        <v>685</v>
      </c>
      <c r="C216" s="5" t="s">
        <v>686</v>
      </c>
      <c r="D216" s="5" t="s">
        <v>687</v>
      </c>
      <c r="E216" s="5" t="s">
        <v>688</v>
      </c>
      <c r="G216" s="19" t="b">
        <f t="shared" si="3"/>
        <v>1</v>
      </c>
      <c r="H216" s="19" t="b">
        <f>AND(J216&lt;&gt;"", T216&gt;75)</f>
        <v>1</v>
      </c>
      <c r="I216" s="6">
        <v>337271</v>
      </c>
      <c r="J216" s="11" t="s">
        <v>689</v>
      </c>
      <c r="K216" s="6" t="s">
        <v>690</v>
      </c>
      <c r="L216" s="13">
        <v>662820899648</v>
      </c>
      <c r="M216" s="6">
        <v>39131504</v>
      </c>
      <c r="N216" s="6" t="s">
        <v>688</v>
      </c>
      <c r="O216" s="6">
        <v>270901</v>
      </c>
      <c r="P216" s="6" t="s">
        <v>691</v>
      </c>
      <c r="Q216" s="6" t="s">
        <v>690</v>
      </c>
      <c r="R216" s="6" t="s">
        <v>686</v>
      </c>
      <c r="S216" s="8">
        <v>0.94754933319499601</v>
      </c>
      <c r="T216" s="7">
        <v>100</v>
      </c>
      <c r="U216" s="7">
        <v>100</v>
      </c>
      <c r="V216" s="7">
        <v>100</v>
      </c>
    </row>
    <row r="217" spans="1:22" hidden="1" x14ac:dyDescent="0.3">
      <c r="A217" s="5">
        <v>897236</v>
      </c>
      <c r="B217" s="5" t="s">
        <v>692</v>
      </c>
      <c r="C217" s="5" t="s">
        <v>401</v>
      </c>
      <c r="D217" s="5" t="s">
        <v>693</v>
      </c>
      <c r="E217" s="5" t="s">
        <v>694</v>
      </c>
      <c r="G217" s="19" t="b">
        <f t="shared" si="3"/>
        <v>1</v>
      </c>
      <c r="H217" s="19" t="b">
        <f>AND(J217&lt;&gt;"", T217&gt;75)</f>
        <v>1</v>
      </c>
      <c r="I217" s="6">
        <v>336447</v>
      </c>
      <c r="J217" s="11">
        <v>48390572</v>
      </c>
      <c r="K217" s="6" t="s">
        <v>134</v>
      </c>
      <c r="L217" s="14" t="s">
        <v>695</v>
      </c>
      <c r="M217" s="6">
        <v>27112802</v>
      </c>
      <c r="N217" s="6" t="s">
        <v>694</v>
      </c>
      <c r="O217" s="6">
        <v>264042</v>
      </c>
      <c r="P217" s="6" t="s">
        <v>696</v>
      </c>
      <c r="Q217" s="6" t="s">
        <v>134</v>
      </c>
      <c r="R217" s="6" t="s">
        <v>401</v>
      </c>
      <c r="S217" s="8">
        <v>0.96841667723059299</v>
      </c>
      <c r="T217" s="7">
        <v>100</v>
      </c>
      <c r="U217" s="7">
        <v>100</v>
      </c>
      <c r="V217" s="7">
        <v>100</v>
      </c>
    </row>
    <row r="218" spans="1:22" x14ac:dyDescent="0.3">
      <c r="A218" s="5">
        <v>897237</v>
      </c>
      <c r="B218" s="5" t="s">
        <v>697</v>
      </c>
      <c r="C218" s="5" t="s">
        <v>698</v>
      </c>
      <c r="D218" s="5" t="s">
        <v>699</v>
      </c>
      <c r="G218" s="19" t="b">
        <f t="shared" si="3"/>
        <v>1</v>
      </c>
      <c r="H218" s="19" t="b">
        <f>AND(J218&lt;&gt;"", T218&gt;75)</f>
        <v>0</v>
      </c>
      <c r="J218" s="6"/>
      <c r="Q218" s="6" t="s">
        <v>700</v>
      </c>
      <c r="R218" s="6" t="s">
        <v>698</v>
      </c>
      <c r="U218" s="7">
        <v>100</v>
      </c>
    </row>
    <row r="219" spans="1:22" hidden="1" x14ac:dyDescent="0.3">
      <c r="A219" s="5">
        <v>897238</v>
      </c>
      <c r="B219" s="5" t="s">
        <v>701</v>
      </c>
      <c r="C219" s="5" t="s">
        <v>254</v>
      </c>
      <c r="D219" s="5" t="s">
        <v>702</v>
      </c>
      <c r="E219" s="5" t="s">
        <v>703</v>
      </c>
      <c r="G219" s="19" t="b">
        <f t="shared" si="3"/>
        <v>0</v>
      </c>
      <c r="H219" s="19" t="b">
        <f>AND(J219&lt;&gt;"", T219&gt;75)</f>
        <v>0</v>
      </c>
      <c r="I219" s="6">
        <v>337871</v>
      </c>
      <c r="J219" s="6" t="s">
        <v>702</v>
      </c>
      <c r="K219" s="6" t="s">
        <v>308</v>
      </c>
      <c r="L219" s="13">
        <v>786189104288</v>
      </c>
      <c r="M219" s="6">
        <v>39121320</v>
      </c>
      <c r="N219" s="6" t="s">
        <v>703</v>
      </c>
      <c r="O219" s="6">
        <v>255672</v>
      </c>
      <c r="P219" s="6" t="s">
        <v>704</v>
      </c>
      <c r="Q219" s="6" t="s">
        <v>308</v>
      </c>
      <c r="S219" s="7">
        <v>0.93074593602498401</v>
      </c>
      <c r="T219" s="7">
        <v>74.037296801249198</v>
      </c>
      <c r="U219" s="7">
        <v>48.037296801249198</v>
      </c>
      <c r="V219" s="8">
        <v>95.149187204996693</v>
      </c>
    </row>
    <row r="220" spans="1:22" x14ac:dyDescent="0.3">
      <c r="A220" s="5">
        <v>897239</v>
      </c>
      <c r="B220" s="5" t="s">
        <v>705</v>
      </c>
      <c r="C220" s="5" t="s">
        <v>356</v>
      </c>
      <c r="D220" s="5" t="s">
        <v>706</v>
      </c>
      <c r="E220" s="5" t="s">
        <v>707</v>
      </c>
      <c r="G220" s="19" t="b">
        <f t="shared" si="3"/>
        <v>1</v>
      </c>
      <c r="H220" s="19" t="b">
        <f>AND(J220&lt;&gt;"", T220&gt;75)</f>
        <v>0</v>
      </c>
      <c r="J220" s="6"/>
      <c r="Q220" s="6" t="s">
        <v>708</v>
      </c>
      <c r="R220" s="6" t="s">
        <v>356</v>
      </c>
      <c r="U220" s="7">
        <v>100</v>
      </c>
    </row>
    <row r="221" spans="1:22" x14ac:dyDescent="0.3">
      <c r="A221" s="5">
        <v>897240</v>
      </c>
      <c r="B221" s="5" t="s">
        <v>258</v>
      </c>
      <c r="C221" s="5" t="s">
        <v>240</v>
      </c>
      <c r="D221" s="5" t="s">
        <v>259</v>
      </c>
      <c r="E221" s="5" t="s">
        <v>260</v>
      </c>
      <c r="G221" s="19" t="b">
        <f t="shared" si="3"/>
        <v>1</v>
      </c>
      <c r="H221" s="19" t="b">
        <f>AND(J221&lt;&gt;"", T221&gt;75)</f>
        <v>0</v>
      </c>
      <c r="J221" s="6"/>
      <c r="Q221" s="6" t="s">
        <v>39</v>
      </c>
      <c r="R221" s="6" t="s">
        <v>240</v>
      </c>
      <c r="U221" s="7">
        <v>100</v>
      </c>
    </row>
    <row r="222" spans="1:22" x14ac:dyDescent="0.3">
      <c r="A222" s="5">
        <v>897241</v>
      </c>
      <c r="B222" s="5" t="s">
        <v>274</v>
      </c>
      <c r="C222" s="5" t="s">
        <v>240</v>
      </c>
      <c r="D222" s="5" t="s">
        <v>275</v>
      </c>
      <c r="E222" s="5" t="s">
        <v>38</v>
      </c>
      <c r="G222" s="19" t="b">
        <f t="shared" si="3"/>
        <v>1</v>
      </c>
      <c r="H222" s="19" t="b">
        <f>AND(J222&lt;&gt;"", T222&gt;75)</f>
        <v>0</v>
      </c>
      <c r="J222" s="6"/>
      <c r="Q222" s="6" t="s">
        <v>39</v>
      </c>
      <c r="R222" s="6" t="s">
        <v>240</v>
      </c>
      <c r="U222" s="7">
        <v>100</v>
      </c>
    </row>
    <row r="223" spans="1:22" hidden="1" x14ac:dyDescent="0.3">
      <c r="A223" s="5">
        <v>897242</v>
      </c>
      <c r="B223" s="5" t="s">
        <v>709</v>
      </c>
      <c r="C223" s="5" t="s">
        <v>254</v>
      </c>
      <c r="D223" s="5" t="s">
        <v>710</v>
      </c>
      <c r="E223" s="5" t="s">
        <v>711</v>
      </c>
      <c r="G223" s="19" t="b">
        <f t="shared" si="3"/>
        <v>0</v>
      </c>
      <c r="H223" s="19" t="b">
        <f>AND(J223&lt;&gt;"", T223&gt;75)</f>
        <v>0</v>
      </c>
      <c r="I223" s="6">
        <v>336381</v>
      </c>
      <c r="J223" s="6" t="s">
        <v>710</v>
      </c>
      <c r="K223" s="6" t="s">
        <v>308</v>
      </c>
      <c r="L223" s="13">
        <v>786189104035</v>
      </c>
      <c r="M223" s="6">
        <v>39121308</v>
      </c>
      <c r="N223" s="6" t="s">
        <v>711</v>
      </c>
      <c r="O223" s="6">
        <v>255654</v>
      </c>
      <c r="P223" s="6" t="s">
        <v>712</v>
      </c>
      <c r="Q223" s="6" t="s">
        <v>308</v>
      </c>
      <c r="S223" s="8">
        <v>0.90187655278202095</v>
      </c>
      <c r="T223" s="7">
        <v>72.593827639101093</v>
      </c>
      <c r="U223" s="8">
        <v>46.593827639101001</v>
      </c>
      <c r="V223" s="8">
        <v>89.375310556404301</v>
      </c>
    </row>
    <row r="224" spans="1:22" hidden="1" x14ac:dyDescent="0.3">
      <c r="A224" s="5">
        <v>897243</v>
      </c>
      <c r="B224" s="5" t="s">
        <v>713</v>
      </c>
      <c r="C224" s="5" t="s">
        <v>254</v>
      </c>
      <c r="D224" s="5" t="s">
        <v>714</v>
      </c>
      <c r="E224" s="5" t="s">
        <v>715</v>
      </c>
      <c r="G224" s="19" t="b">
        <f t="shared" si="3"/>
        <v>0</v>
      </c>
      <c r="H224" s="19" t="b">
        <f>AND(J224&lt;&gt;"", T224&gt;75)</f>
        <v>1</v>
      </c>
      <c r="I224" s="6">
        <v>336383</v>
      </c>
      <c r="J224" s="11" t="s">
        <v>714</v>
      </c>
      <c r="K224" s="6" t="s">
        <v>308</v>
      </c>
      <c r="L224" s="13">
        <v>786189104721</v>
      </c>
      <c r="M224" s="6">
        <v>39121304</v>
      </c>
      <c r="N224" s="6" t="s">
        <v>715</v>
      </c>
      <c r="O224" s="6">
        <v>255692</v>
      </c>
      <c r="P224" s="6" t="s">
        <v>716</v>
      </c>
      <c r="Q224" s="6" t="s">
        <v>308</v>
      </c>
      <c r="S224" s="8">
        <v>0.98621653083317495</v>
      </c>
      <c r="T224" s="8">
        <v>76.810826541658699</v>
      </c>
      <c r="U224" s="8">
        <v>50.810826541658699</v>
      </c>
      <c r="V224" s="7">
        <v>100</v>
      </c>
    </row>
    <row r="225" spans="1:22" x14ac:dyDescent="0.3">
      <c r="A225" s="5">
        <v>897244</v>
      </c>
      <c r="B225" s="5" t="s">
        <v>717</v>
      </c>
      <c r="C225" s="5" t="s">
        <v>254</v>
      </c>
      <c r="D225" s="5" t="s">
        <v>718</v>
      </c>
      <c r="E225" s="5" t="s">
        <v>719</v>
      </c>
      <c r="G225" s="19" t="b">
        <f t="shared" si="3"/>
        <v>1</v>
      </c>
      <c r="H225" s="19" t="b">
        <f>AND(J225&lt;&gt;"", T225&gt;75)</f>
        <v>0</v>
      </c>
      <c r="J225" s="6"/>
      <c r="Q225" s="6" t="s">
        <v>257</v>
      </c>
      <c r="R225" s="6" t="s">
        <v>254</v>
      </c>
      <c r="U225" s="7">
        <v>100</v>
      </c>
    </row>
    <row r="226" spans="1:22" x14ac:dyDescent="0.3">
      <c r="A226" s="5">
        <v>897245</v>
      </c>
      <c r="B226" s="5" t="s">
        <v>720</v>
      </c>
      <c r="C226" s="5" t="s">
        <v>721</v>
      </c>
      <c r="D226" s="5" t="s">
        <v>722</v>
      </c>
      <c r="G226" s="19" t="b">
        <f t="shared" si="3"/>
        <v>0</v>
      </c>
      <c r="H226" s="19" t="b">
        <f>AND(J226&lt;&gt;"", T226&gt;75)</f>
        <v>0</v>
      </c>
      <c r="J226" s="6"/>
    </row>
    <row r="227" spans="1:22" x14ac:dyDescent="0.3">
      <c r="A227" s="5">
        <v>897246</v>
      </c>
      <c r="B227" s="5" t="s">
        <v>723</v>
      </c>
      <c r="C227" s="5" t="s">
        <v>254</v>
      </c>
      <c r="D227" s="5" t="s">
        <v>724</v>
      </c>
      <c r="E227" s="5" t="s">
        <v>725</v>
      </c>
      <c r="G227" s="19" t="b">
        <f t="shared" si="3"/>
        <v>1</v>
      </c>
      <c r="H227" s="19" t="b">
        <f>AND(J227&lt;&gt;"", T227&gt;75)</f>
        <v>0</v>
      </c>
      <c r="J227" s="6"/>
      <c r="Q227" s="6" t="s">
        <v>257</v>
      </c>
      <c r="R227" s="6" t="s">
        <v>254</v>
      </c>
      <c r="U227" s="7">
        <v>50</v>
      </c>
    </row>
    <row r="228" spans="1:22" x14ac:dyDescent="0.3">
      <c r="A228" s="5">
        <v>897247</v>
      </c>
      <c r="B228" s="5" t="s">
        <v>267</v>
      </c>
      <c r="C228" s="5" t="s">
        <v>254</v>
      </c>
      <c r="D228" s="5">
        <v>451</v>
      </c>
      <c r="E228" s="5" t="s">
        <v>268</v>
      </c>
      <c r="G228" s="19" t="b">
        <f t="shared" si="3"/>
        <v>1</v>
      </c>
      <c r="H228" s="19" t="b">
        <f>AND(J228&lt;&gt;"", T228&gt;75)</f>
        <v>0</v>
      </c>
      <c r="J228" s="6"/>
      <c r="Q228" s="6" t="s">
        <v>257</v>
      </c>
      <c r="R228" s="6" t="s">
        <v>254</v>
      </c>
      <c r="U228" s="7">
        <v>50</v>
      </c>
    </row>
    <row r="229" spans="1:22" x14ac:dyDescent="0.3">
      <c r="A229" s="5">
        <v>897248</v>
      </c>
      <c r="B229" s="5" t="s">
        <v>726</v>
      </c>
      <c r="C229" s="5" t="s">
        <v>254</v>
      </c>
      <c r="D229" s="5">
        <v>460</v>
      </c>
      <c r="E229" s="5" t="s">
        <v>727</v>
      </c>
      <c r="G229" s="19" t="b">
        <f t="shared" si="3"/>
        <v>1</v>
      </c>
      <c r="H229" s="19" t="b">
        <f>AND(J229&lt;&gt;"", T229&gt;75)</f>
        <v>0</v>
      </c>
      <c r="J229" s="6"/>
      <c r="Q229" s="6" t="s">
        <v>257</v>
      </c>
      <c r="R229" s="6" t="s">
        <v>254</v>
      </c>
      <c r="U229" s="7">
        <v>50</v>
      </c>
    </row>
    <row r="230" spans="1:22" hidden="1" x14ac:dyDescent="0.3">
      <c r="A230" s="5">
        <v>897249</v>
      </c>
      <c r="B230" s="5" t="s">
        <v>728</v>
      </c>
      <c r="C230" s="5" t="s">
        <v>245</v>
      </c>
      <c r="D230" s="5" t="s">
        <v>729</v>
      </c>
      <c r="E230" s="5" t="s">
        <v>730</v>
      </c>
      <c r="G230" s="19" t="b">
        <f t="shared" si="3"/>
        <v>1</v>
      </c>
      <c r="H230" s="19" t="b">
        <f>AND(J230&lt;&gt;"", T230&gt;75)</f>
        <v>1</v>
      </c>
      <c r="I230" s="6">
        <v>335711</v>
      </c>
      <c r="J230" s="11" t="s">
        <v>731</v>
      </c>
      <c r="K230" s="6" t="s">
        <v>247</v>
      </c>
      <c r="L230" s="13">
        <v>781747009210</v>
      </c>
      <c r="M230" s="6">
        <v>39121700</v>
      </c>
      <c r="N230" s="6" t="s">
        <v>730</v>
      </c>
      <c r="O230" s="6">
        <v>269111</v>
      </c>
      <c r="P230" s="6" t="s">
        <v>732</v>
      </c>
      <c r="Q230" s="6" t="s">
        <v>247</v>
      </c>
      <c r="R230" s="6" t="s">
        <v>245</v>
      </c>
      <c r="S230" s="8">
        <v>0.976698776123468</v>
      </c>
      <c r="T230" s="8">
        <v>81.334938806173398</v>
      </c>
      <c r="U230" s="8">
        <v>71.334938806173398</v>
      </c>
      <c r="V230" s="7">
        <v>100</v>
      </c>
    </row>
    <row r="231" spans="1:22" hidden="1" x14ac:dyDescent="0.3">
      <c r="A231" s="5">
        <v>897250</v>
      </c>
      <c r="B231" s="5" t="s">
        <v>733</v>
      </c>
      <c r="C231" s="5" t="s">
        <v>370</v>
      </c>
      <c r="D231" s="5" t="s">
        <v>734</v>
      </c>
      <c r="E231" s="5" t="s">
        <v>735</v>
      </c>
      <c r="G231" s="19" t="b">
        <f t="shared" si="3"/>
        <v>1</v>
      </c>
      <c r="H231" s="19" t="b">
        <f>AND(J231&lt;&gt;"", T231&gt;75)</f>
        <v>1</v>
      </c>
      <c r="I231" s="6">
        <v>335993</v>
      </c>
      <c r="J231" s="11" t="s">
        <v>734</v>
      </c>
      <c r="K231" s="6" t="s">
        <v>281</v>
      </c>
      <c r="L231" s="13">
        <v>781002252887</v>
      </c>
      <c r="M231" s="6">
        <v>31162101</v>
      </c>
      <c r="N231" s="6" t="s">
        <v>735</v>
      </c>
      <c r="O231" s="6">
        <v>261810</v>
      </c>
      <c r="P231" s="6" t="s">
        <v>736</v>
      </c>
      <c r="Q231" s="6" t="s">
        <v>281</v>
      </c>
      <c r="R231" s="6" t="s">
        <v>370</v>
      </c>
      <c r="S231" s="8">
        <v>0.95128046139948397</v>
      </c>
      <c r="T231" s="7">
        <v>100</v>
      </c>
      <c r="U231" s="7">
        <v>100</v>
      </c>
      <c r="V231" s="7">
        <v>100</v>
      </c>
    </row>
    <row r="232" spans="1:22" x14ac:dyDescent="0.3">
      <c r="A232" s="5">
        <v>897251</v>
      </c>
      <c r="B232" s="5" t="s">
        <v>737</v>
      </c>
      <c r="C232" s="5" t="s">
        <v>738</v>
      </c>
      <c r="D232" s="5" t="s">
        <v>739</v>
      </c>
      <c r="G232" s="19" t="b">
        <f t="shared" si="3"/>
        <v>0</v>
      </c>
      <c r="H232" s="19" t="b">
        <f>AND(J232&lt;&gt;"", T232&gt;75)</f>
        <v>0</v>
      </c>
      <c r="J232" s="6"/>
    </row>
    <row r="233" spans="1:22" x14ac:dyDescent="0.3">
      <c r="A233" s="5">
        <v>897252</v>
      </c>
      <c r="B233" s="5" t="s">
        <v>740</v>
      </c>
      <c r="C233" s="5" t="s">
        <v>738</v>
      </c>
      <c r="D233" s="5" t="s">
        <v>739</v>
      </c>
      <c r="G233" s="19" t="b">
        <f t="shared" si="3"/>
        <v>0</v>
      </c>
      <c r="H233" s="19" t="b">
        <f>AND(J233&lt;&gt;"", T233&gt;75)</f>
        <v>0</v>
      </c>
      <c r="J233" s="6"/>
    </row>
    <row r="234" spans="1:22" x14ac:dyDescent="0.3">
      <c r="A234" s="5">
        <v>897253</v>
      </c>
      <c r="B234" s="5" t="s">
        <v>741</v>
      </c>
      <c r="C234" s="5" t="s">
        <v>36</v>
      </c>
      <c r="D234" s="5">
        <v>898302</v>
      </c>
      <c r="G234" s="19" t="b">
        <f t="shared" si="3"/>
        <v>1</v>
      </c>
      <c r="H234" s="19" t="b">
        <f>AND(J234&lt;&gt;"", T234&gt;75)</f>
        <v>0</v>
      </c>
      <c r="J234" s="6"/>
      <c r="Q234" s="6" t="s">
        <v>39</v>
      </c>
      <c r="R234" s="6" t="s">
        <v>36</v>
      </c>
      <c r="U234" s="7">
        <v>60</v>
      </c>
    </row>
    <row r="235" spans="1:22" hidden="1" x14ac:dyDescent="0.3">
      <c r="A235" s="5">
        <v>897254</v>
      </c>
      <c r="B235" s="5" t="s">
        <v>742</v>
      </c>
      <c r="C235" s="5" t="s">
        <v>447</v>
      </c>
      <c r="D235" s="5" t="s">
        <v>743</v>
      </c>
      <c r="G235" s="19" t="b">
        <f t="shared" si="3"/>
        <v>1</v>
      </c>
      <c r="H235" s="19" t="b">
        <f>AND(J235&lt;&gt;"", T235&gt;75)</f>
        <v>0</v>
      </c>
      <c r="I235" s="6">
        <v>301015</v>
      </c>
      <c r="J235" s="6">
        <v>53850</v>
      </c>
      <c r="K235" s="6" t="s">
        <v>447</v>
      </c>
      <c r="L235" s="14" t="s">
        <v>744</v>
      </c>
      <c r="M235" s="6">
        <v>39121305</v>
      </c>
      <c r="O235" s="6">
        <v>239359</v>
      </c>
      <c r="P235" s="6" t="s">
        <v>745</v>
      </c>
      <c r="Q235" s="6" t="s">
        <v>447</v>
      </c>
      <c r="R235" s="6" t="s">
        <v>447</v>
      </c>
      <c r="S235" s="7">
        <v>0.85802701269722104</v>
      </c>
      <c r="T235" s="8">
        <v>35.155188488171802</v>
      </c>
      <c r="U235" s="8">
        <v>60.849780694116902</v>
      </c>
      <c r="V235" s="7">
        <v>100</v>
      </c>
    </row>
    <row r="236" spans="1:22" hidden="1" x14ac:dyDescent="0.3">
      <c r="A236" s="5">
        <v>897255</v>
      </c>
      <c r="B236" s="5" t="s">
        <v>746</v>
      </c>
      <c r="C236" s="5" t="s">
        <v>447</v>
      </c>
      <c r="D236" s="5" t="s">
        <v>747</v>
      </c>
      <c r="G236" s="19" t="b">
        <f t="shared" si="3"/>
        <v>1</v>
      </c>
      <c r="H236" s="19" t="b">
        <f>AND(J236&lt;&gt;"", T236&gt;75)</f>
        <v>1</v>
      </c>
      <c r="I236" s="6">
        <v>338126</v>
      </c>
      <c r="J236" s="11" t="s">
        <v>747</v>
      </c>
      <c r="K236" s="6" t="s">
        <v>447</v>
      </c>
      <c r="L236" s="14" t="s">
        <v>748</v>
      </c>
      <c r="M236" s="6">
        <v>39121434</v>
      </c>
      <c r="N236" s="6" t="s">
        <v>749</v>
      </c>
      <c r="O236" s="6">
        <v>266433</v>
      </c>
      <c r="P236" s="6" t="s">
        <v>750</v>
      </c>
      <c r="Q236" s="6" t="s">
        <v>447</v>
      </c>
      <c r="R236" s="6" t="s">
        <v>447</v>
      </c>
      <c r="S236" s="8">
        <v>0.843125032125564</v>
      </c>
      <c r="T236" s="8">
        <v>94.656251606278204</v>
      </c>
      <c r="U236" s="8">
        <v>76.656251606278204</v>
      </c>
      <c r="V236" s="7">
        <v>100</v>
      </c>
    </row>
    <row r="237" spans="1:22" hidden="1" x14ac:dyDescent="0.3">
      <c r="A237" s="5">
        <v>897256</v>
      </c>
      <c r="B237" s="5" t="s">
        <v>751</v>
      </c>
      <c r="C237" s="5" t="s">
        <v>752</v>
      </c>
      <c r="D237" s="5" t="s">
        <v>753</v>
      </c>
      <c r="G237" s="19" t="b">
        <f t="shared" si="3"/>
        <v>1</v>
      </c>
      <c r="H237" s="19" t="b">
        <f>AND(J237&lt;&gt;"", T237&gt;75)</f>
        <v>1</v>
      </c>
      <c r="I237" s="6">
        <v>340952</v>
      </c>
      <c r="J237" s="11" t="s">
        <v>754</v>
      </c>
      <c r="K237" s="6" t="s">
        <v>194</v>
      </c>
      <c r="L237" s="13">
        <v>785007036107</v>
      </c>
      <c r="M237" s="6">
        <v>39121406</v>
      </c>
      <c r="N237" s="6" t="s">
        <v>755</v>
      </c>
      <c r="O237" s="6">
        <v>265137</v>
      </c>
      <c r="P237" s="6" t="s">
        <v>756</v>
      </c>
      <c r="Q237" s="6" t="s">
        <v>194</v>
      </c>
      <c r="R237" s="6" t="s">
        <v>752</v>
      </c>
      <c r="S237" s="8">
        <v>0.84474011045539699</v>
      </c>
      <c r="T237" s="7">
        <v>100</v>
      </c>
      <c r="U237" s="7">
        <v>100</v>
      </c>
      <c r="V237" s="7">
        <v>100</v>
      </c>
    </row>
    <row r="238" spans="1:22" x14ac:dyDescent="0.3">
      <c r="A238" s="5">
        <v>897257</v>
      </c>
      <c r="B238" s="5" t="s">
        <v>757</v>
      </c>
      <c r="C238" s="5" t="s">
        <v>758</v>
      </c>
      <c r="D238" s="5" t="s">
        <v>759</v>
      </c>
      <c r="G238" s="19" t="b">
        <f t="shared" si="3"/>
        <v>1</v>
      </c>
      <c r="H238" s="19" t="b">
        <f>AND(J238&lt;&gt;"", T238&gt;75)</f>
        <v>0</v>
      </c>
      <c r="J238" s="6"/>
      <c r="Q238" s="6" t="s">
        <v>760</v>
      </c>
      <c r="R238" s="6" t="s">
        <v>760</v>
      </c>
      <c r="U238" s="7">
        <v>50</v>
      </c>
    </row>
    <row r="239" spans="1:22" hidden="1" x14ac:dyDescent="0.3">
      <c r="A239" s="5">
        <v>897258</v>
      </c>
      <c r="B239" s="5" t="s">
        <v>761</v>
      </c>
      <c r="C239" s="5" t="s">
        <v>762</v>
      </c>
      <c r="D239" s="5" t="s">
        <v>763</v>
      </c>
      <c r="G239" s="19" t="b">
        <f t="shared" si="3"/>
        <v>1</v>
      </c>
      <c r="H239" s="19" t="b">
        <f>AND(J239&lt;&gt;"", T239&gt;75)</f>
        <v>1</v>
      </c>
      <c r="I239" s="6">
        <v>339730</v>
      </c>
      <c r="J239" s="11" t="s">
        <v>763</v>
      </c>
      <c r="K239" s="6" t="s">
        <v>412</v>
      </c>
      <c r="L239" s="14" t="s">
        <v>764</v>
      </c>
      <c r="M239" s="6">
        <v>39121304</v>
      </c>
      <c r="N239" s="6" t="s">
        <v>765</v>
      </c>
      <c r="O239" s="6">
        <v>261249</v>
      </c>
      <c r="P239" s="6" t="s">
        <v>766</v>
      </c>
      <c r="Q239" s="6" t="s">
        <v>412</v>
      </c>
      <c r="R239" s="6" t="s">
        <v>412</v>
      </c>
      <c r="S239" s="8">
        <v>0.79994906261219401</v>
      </c>
      <c r="T239" s="7">
        <v>100</v>
      </c>
      <c r="U239" s="7">
        <v>100</v>
      </c>
      <c r="V239" s="7">
        <v>100</v>
      </c>
    </row>
    <row r="240" spans="1:22" x14ac:dyDescent="0.3">
      <c r="A240" s="5">
        <v>897260</v>
      </c>
      <c r="B240" s="5" t="s">
        <v>767</v>
      </c>
      <c r="C240" s="5" t="s">
        <v>738</v>
      </c>
      <c r="D240" s="5" t="s">
        <v>739</v>
      </c>
      <c r="G240" s="19" t="b">
        <f t="shared" si="3"/>
        <v>0</v>
      </c>
      <c r="H240" s="19" t="b">
        <f>AND(J240&lt;&gt;"", T240&gt;75)</f>
        <v>0</v>
      </c>
      <c r="J240" s="6"/>
    </row>
    <row r="241" spans="1:22" x14ac:dyDescent="0.3">
      <c r="A241" s="5">
        <v>897261</v>
      </c>
      <c r="B241" s="5" t="s">
        <v>768</v>
      </c>
      <c r="C241" s="5" t="s">
        <v>237</v>
      </c>
      <c r="D241" s="5" t="s">
        <v>769</v>
      </c>
      <c r="E241" s="5" t="s">
        <v>174</v>
      </c>
      <c r="G241" s="19" t="b">
        <f t="shared" si="3"/>
        <v>1</v>
      </c>
      <c r="H241" s="19" t="b">
        <f>AND(J241&lt;&gt;"", T241&gt;75)</f>
        <v>0</v>
      </c>
      <c r="J241" s="6"/>
      <c r="Q241" s="6" t="s">
        <v>39</v>
      </c>
      <c r="R241" s="6" t="s">
        <v>237</v>
      </c>
      <c r="U241" s="7">
        <v>100</v>
      </c>
    </row>
    <row r="242" spans="1:22" x14ac:dyDescent="0.3">
      <c r="A242" s="5">
        <v>897262</v>
      </c>
      <c r="B242" s="5" t="s">
        <v>770</v>
      </c>
      <c r="C242" s="5" t="s">
        <v>237</v>
      </c>
      <c r="D242" s="5" t="s">
        <v>771</v>
      </c>
      <c r="E242" s="5" t="s">
        <v>772</v>
      </c>
      <c r="G242" s="19" t="b">
        <f t="shared" si="3"/>
        <v>1</v>
      </c>
      <c r="H242" s="19" t="b">
        <f>AND(J242&lt;&gt;"", T242&gt;75)</f>
        <v>0</v>
      </c>
      <c r="J242" s="6"/>
      <c r="Q242" s="6" t="s">
        <v>39</v>
      </c>
      <c r="R242" s="6" t="s">
        <v>237</v>
      </c>
      <c r="U242" s="7">
        <v>100</v>
      </c>
    </row>
    <row r="243" spans="1:22" x14ac:dyDescent="0.3">
      <c r="A243" s="5">
        <v>897263</v>
      </c>
      <c r="B243" s="5" t="s">
        <v>773</v>
      </c>
      <c r="C243" s="5" t="s">
        <v>237</v>
      </c>
      <c r="D243" s="5" t="s">
        <v>774</v>
      </c>
      <c r="E243" s="5" t="s">
        <v>139</v>
      </c>
      <c r="G243" s="19" t="b">
        <f t="shared" si="3"/>
        <v>1</v>
      </c>
      <c r="H243" s="19" t="b">
        <f>AND(J243&lt;&gt;"", T243&gt;75)</f>
        <v>0</v>
      </c>
      <c r="J243" s="6"/>
      <c r="Q243" s="6" t="s">
        <v>39</v>
      </c>
      <c r="R243" s="6" t="s">
        <v>237</v>
      </c>
      <c r="U243" s="7">
        <v>100</v>
      </c>
    </row>
    <row r="244" spans="1:22" x14ac:dyDescent="0.3">
      <c r="A244" s="5">
        <v>897264</v>
      </c>
      <c r="B244" s="5" t="s">
        <v>775</v>
      </c>
      <c r="C244" s="5" t="s">
        <v>237</v>
      </c>
      <c r="D244" s="5" t="s">
        <v>776</v>
      </c>
      <c r="E244" s="5" t="s">
        <v>777</v>
      </c>
      <c r="G244" s="19" t="b">
        <f t="shared" si="3"/>
        <v>1</v>
      </c>
      <c r="H244" s="19" t="b">
        <f>AND(J244&lt;&gt;"", T244&gt;75)</f>
        <v>0</v>
      </c>
      <c r="J244" s="6"/>
      <c r="Q244" s="6" t="s">
        <v>39</v>
      </c>
      <c r="R244" s="6" t="s">
        <v>237</v>
      </c>
      <c r="U244" s="7">
        <v>50</v>
      </c>
    </row>
    <row r="245" spans="1:22" x14ac:dyDescent="0.3">
      <c r="A245" s="5">
        <v>897265</v>
      </c>
      <c r="B245" s="5" t="s">
        <v>778</v>
      </c>
      <c r="C245" s="5" t="s">
        <v>779</v>
      </c>
      <c r="D245" s="5" t="s">
        <v>780</v>
      </c>
      <c r="E245" s="5" t="s">
        <v>781</v>
      </c>
      <c r="G245" s="19" t="b">
        <f t="shared" si="3"/>
        <v>1</v>
      </c>
      <c r="H245" s="19" t="b">
        <f>AND(J245&lt;&gt;"", T245&gt;75)</f>
        <v>0</v>
      </c>
      <c r="J245" s="6"/>
      <c r="Q245" s="6" t="s">
        <v>782</v>
      </c>
      <c r="R245" s="6" t="s">
        <v>779</v>
      </c>
      <c r="U245" s="7">
        <v>100</v>
      </c>
    </row>
    <row r="246" spans="1:22" x14ac:dyDescent="0.3">
      <c r="A246" s="5">
        <v>897266</v>
      </c>
      <c r="B246" s="5" t="s">
        <v>783</v>
      </c>
      <c r="C246" s="5" t="s">
        <v>240</v>
      </c>
      <c r="D246" s="5" t="s">
        <v>784</v>
      </c>
      <c r="E246" s="5" t="s">
        <v>785</v>
      </c>
      <c r="G246" s="19" t="b">
        <f t="shared" si="3"/>
        <v>1</v>
      </c>
      <c r="H246" s="19" t="b">
        <f>AND(J246&lt;&gt;"", T246&gt;75)</f>
        <v>0</v>
      </c>
      <c r="J246" s="6"/>
      <c r="Q246" s="6" t="s">
        <v>39</v>
      </c>
      <c r="R246" s="6" t="s">
        <v>240</v>
      </c>
      <c r="U246" s="7">
        <v>100</v>
      </c>
    </row>
    <row r="247" spans="1:22" hidden="1" x14ac:dyDescent="0.3">
      <c r="A247" s="5">
        <v>897267</v>
      </c>
      <c r="B247" s="5" t="s">
        <v>786</v>
      </c>
      <c r="C247" s="5" t="s">
        <v>237</v>
      </c>
      <c r="D247" s="5" t="s">
        <v>787</v>
      </c>
      <c r="E247" s="5" t="s">
        <v>788</v>
      </c>
      <c r="G247" s="19" t="b">
        <f t="shared" si="3"/>
        <v>0</v>
      </c>
      <c r="H247" s="19" t="b">
        <f>AND(J247&lt;&gt;"", T247&gt;75)</f>
        <v>0</v>
      </c>
      <c r="I247" s="6">
        <v>337636</v>
      </c>
      <c r="J247" s="6" t="s">
        <v>789</v>
      </c>
      <c r="K247" s="6" t="s">
        <v>782</v>
      </c>
      <c r="L247" s="14" t="s">
        <v>790</v>
      </c>
      <c r="M247" s="6">
        <v>31201617</v>
      </c>
      <c r="N247" s="6" t="s">
        <v>791</v>
      </c>
      <c r="O247" s="6">
        <v>267032</v>
      </c>
      <c r="P247" s="6" t="s">
        <v>792</v>
      </c>
      <c r="Q247" s="6" t="s">
        <v>782</v>
      </c>
      <c r="S247" s="8">
        <v>0.63223243806242502</v>
      </c>
      <c r="T247" s="8">
        <v>39.1136346100838</v>
      </c>
      <c r="U247" s="8">
        <v>30.698002044198802</v>
      </c>
      <c r="V247" s="8">
        <v>38.4464876124851</v>
      </c>
    </row>
    <row r="248" spans="1:22" x14ac:dyDescent="0.3">
      <c r="A248" s="5">
        <v>897269</v>
      </c>
      <c r="B248" s="5" t="s">
        <v>793</v>
      </c>
      <c r="D248" s="5">
        <v>3536544</v>
      </c>
      <c r="G248" s="19" t="b">
        <f t="shared" si="3"/>
        <v>1</v>
      </c>
      <c r="H248" s="19" t="b">
        <f>AND(J248&lt;&gt;"", T248&gt;75)</f>
        <v>0</v>
      </c>
      <c r="J248" s="6"/>
      <c r="Q248" s="6" t="s">
        <v>794</v>
      </c>
      <c r="R248" s="6" t="s">
        <v>795</v>
      </c>
      <c r="U248" s="7">
        <v>95</v>
      </c>
    </row>
    <row r="249" spans="1:22" x14ac:dyDescent="0.3">
      <c r="A249" s="5">
        <v>897270</v>
      </c>
      <c r="B249" s="5" t="s">
        <v>796</v>
      </c>
      <c r="D249" s="5">
        <v>3741067</v>
      </c>
      <c r="G249" s="19" t="b">
        <f t="shared" si="3"/>
        <v>0</v>
      </c>
      <c r="H249" s="19" t="b">
        <f>AND(J249&lt;&gt;"", T249&gt;75)</f>
        <v>0</v>
      </c>
      <c r="J249" s="6"/>
    </row>
    <row r="250" spans="1:22" x14ac:dyDescent="0.3">
      <c r="A250" s="5">
        <v>897271</v>
      </c>
      <c r="B250" s="5" t="s">
        <v>797</v>
      </c>
      <c r="D250" s="5">
        <v>2039231</v>
      </c>
      <c r="G250" s="19" t="b">
        <f t="shared" si="3"/>
        <v>0</v>
      </c>
      <c r="H250" s="19" t="b">
        <f>AND(J250&lt;&gt;"", T250&gt;75)</f>
        <v>0</v>
      </c>
      <c r="J250" s="6"/>
    </row>
    <row r="251" spans="1:22" hidden="1" x14ac:dyDescent="0.3">
      <c r="A251" s="5">
        <v>897272</v>
      </c>
      <c r="B251" s="5" t="s">
        <v>798</v>
      </c>
      <c r="D251" s="5">
        <v>3417184</v>
      </c>
      <c r="G251" s="19" t="b">
        <f t="shared" si="3"/>
        <v>0</v>
      </c>
      <c r="H251" s="19" t="b">
        <f>AND(J251&lt;&gt;"", T251&gt;75)</f>
        <v>0</v>
      </c>
      <c r="I251" s="6">
        <v>200214</v>
      </c>
      <c r="J251" s="6">
        <v>1116</v>
      </c>
      <c r="K251" s="6" t="s">
        <v>799</v>
      </c>
      <c r="L251" s="13">
        <v>783669982862</v>
      </c>
      <c r="M251" s="6">
        <v>39121405</v>
      </c>
      <c r="O251" s="6">
        <v>116676</v>
      </c>
      <c r="P251" s="6" t="s">
        <v>800</v>
      </c>
      <c r="Q251" s="6" t="s">
        <v>799</v>
      </c>
      <c r="S251" s="8">
        <v>0.41582942499090803</v>
      </c>
      <c r="T251" s="8">
        <v>43.291471249545403</v>
      </c>
      <c r="U251" s="8">
        <v>53.291471249545403</v>
      </c>
      <c r="V251" s="7">
        <v>0</v>
      </c>
    </row>
    <row r="252" spans="1:22" x14ac:dyDescent="0.3">
      <c r="A252" s="5">
        <v>897273</v>
      </c>
      <c r="B252" s="5" t="s">
        <v>801</v>
      </c>
      <c r="D252" s="5">
        <v>2025923</v>
      </c>
      <c r="G252" s="19" t="b">
        <f t="shared" si="3"/>
        <v>0</v>
      </c>
      <c r="H252" s="19" t="b">
        <f>AND(J252&lt;&gt;"", T252&gt;75)</f>
        <v>0</v>
      </c>
      <c r="J252" s="6"/>
    </row>
    <row r="253" spans="1:22" x14ac:dyDescent="0.3">
      <c r="A253" s="5">
        <v>897274</v>
      </c>
      <c r="B253" s="5" t="s">
        <v>802</v>
      </c>
      <c r="D253" s="5">
        <v>2018443</v>
      </c>
      <c r="G253" s="19" t="b">
        <f t="shared" si="3"/>
        <v>0</v>
      </c>
      <c r="H253" s="19" t="b">
        <f>AND(J253&lt;&gt;"", T253&gt;75)</f>
        <v>0</v>
      </c>
      <c r="J253" s="6"/>
    </row>
    <row r="254" spans="1:22" x14ac:dyDescent="0.3">
      <c r="A254" s="5">
        <v>897275</v>
      </c>
      <c r="B254" s="5" t="s">
        <v>803</v>
      </c>
      <c r="D254" s="5">
        <v>3785337</v>
      </c>
      <c r="G254" s="19" t="b">
        <f t="shared" si="3"/>
        <v>0</v>
      </c>
      <c r="H254" s="19" t="b">
        <f>AND(J254&lt;&gt;"", T254&gt;75)</f>
        <v>0</v>
      </c>
      <c r="J254" s="6"/>
    </row>
    <row r="255" spans="1:22" x14ac:dyDescent="0.3">
      <c r="A255" s="5">
        <v>897276</v>
      </c>
      <c r="B255" s="5" t="s">
        <v>804</v>
      </c>
      <c r="D255" s="5">
        <v>2210260</v>
      </c>
      <c r="G255" s="19" t="b">
        <f t="shared" si="3"/>
        <v>0</v>
      </c>
      <c r="H255" s="19" t="b">
        <f>AND(J255&lt;&gt;"", T255&gt;75)</f>
        <v>0</v>
      </c>
      <c r="J255" s="6"/>
    </row>
    <row r="256" spans="1:22" x14ac:dyDescent="0.3">
      <c r="A256" s="5">
        <v>897277</v>
      </c>
      <c r="B256" s="5" t="s">
        <v>805</v>
      </c>
      <c r="D256" s="5">
        <v>2210279</v>
      </c>
      <c r="G256" s="19" t="b">
        <f t="shared" si="3"/>
        <v>0</v>
      </c>
      <c r="H256" s="19" t="b">
        <f>AND(J256&lt;&gt;"", T256&gt;75)</f>
        <v>0</v>
      </c>
      <c r="J256" s="6"/>
    </row>
    <row r="257" spans="1:22" x14ac:dyDescent="0.3">
      <c r="A257" s="5">
        <v>897278</v>
      </c>
      <c r="B257" s="5" t="s">
        <v>806</v>
      </c>
      <c r="D257" s="5">
        <v>2334276</v>
      </c>
      <c r="G257" s="19" t="b">
        <f t="shared" si="3"/>
        <v>0</v>
      </c>
      <c r="H257" s="19" t="b">
        <f>AND(J257&lt;&gt;"", T257&gt;75)</f>
        <v>0</v>
      </c>
      <c r="J257" s="6"/>
    </row>
    <row r="258" spans="1:22" x14ac:dyDescent="0.3">
      <c r="A258" s="5">
        <v>897280</v>
      </c>
      <c r="B258" s="5" t="s">
        <v>807</v>
      </c>
      <c r="D258" s="5">
        <v>2112763</v>
      </c>
      <c r="G258" s="19" t="b">
        <f t="shared" si="3"/>
        <v>0</v>
      </c>
      <c r="H258" s="19" t="b">
        <f>AND(J258&lt;&gt;"", T258&gt;75)</f>
        <v>0</v>
      </c>
      <c r="J258" s="6"/>
    </row>
    <row r="259" spans="1:22" x14ac:dyDescent="0.3">
      <c r="A259" s="5">
        <v>897281</v>
      </c>
      <c r="B259" s="5" t="s">
        <v>808</v>
      </c>
      <c r="C259" s="5" t="s">
        <v>809</v>
      </c>
      <c r="D259" s="5" t="s">
        <v>810</v>
      </c>
      <c r="G259" s="19" t="b">
        <f t="shared" ref="G259:G322" si="4">(R259&lt;&gt;"")</f>
        <v>1</v>
      </c>
      <c r="H259" s="19" t="b">
        <f>AND(J259&lt;&gt;"", T259&gt;75)</f>
        <v>0</v>
      </c>
      <c r="J259" s="6"/>
      <c r="Q259" s="6" t="s">
        <v>33</v>
      </c>
      <c r="R259" s="6" t="s">
        <v>811</v>
      </c>
      <c r="U259" s="7">
        <v>100</v>
      </c>
    </row>
    <row r="260" spans="1:22" x14ac:dyDescent="0.3">
      <c r="A260" s="5">
        <v>897282</v>
      </c>
      <c r="B260" s="5" t="s">
        <v>812</v>
      </c>
      <c r="C260" s="5" t="s">
        <v>509</v>
      </c>
      <c r="D260" s="5" t="s">
        <v>813</v>
      </c>
      <c r="G260" s="19" t="b">
        <f t="shared" si="4"/>
        <v>0</v>
      </c>
      <c r="H260" s="19" t="b">
        <f>AND(J260&lt;&gt;"", T260&gt;75)</f>
        <v>0</v>
      </c>
      <c r="J260" s="6"/>
    </row>
    <row r="261" spans="1:22" x14ac:dyDescent="0.3">
      <c r="A261" s="5">
        <v>897283</v>
      </c>
      <c r="B261" s="5" t="s">
        <v>814</v>
      </c>
      <c r="G261" s="19" t="b">
        <f t="shared" si="4"/>
        <v>1</v>
      </c>
      <c r="H261" s="19" t="b">
        <f>AND(J261&lt;&gt;"", T261&gt;75)</f>
        <v>0</v>
      </c>
      <c r="J261" s="6"/>
      <c r="Q261" s="6" t="s">
        <v>815</v>
      </c>
      <c r="R261" s="6" t="s">
        <v>815</v>
      </c>
      <c r="U261" s="7">
        <v>90</v>
      </c>
    </row>
    <row r="262" spans="1:22" x14ac:dyDescent="0.3">
      <c r="A262" s="5">
        <v>897284</v>
      </c>
      <c r="B262" s="5" t="s">
        <v>816</v>
      </c>
      <c r="C262" s="5" t="s">
        <v>817</v>
      </c>
      <c r="D262" s="5" t="s">
        <v>818</v>
      </c>
      <c r="G262" s="19" t="b">
        <f t="shared" si="4"/>
        <v>0</v>
      </c>
      <c r="H262" s="19" t="b">
        <f>AND(J262&lt;&gt;"", T262&gt;75)</f>
        <v>0</v>
      </c>
      <c r="J262" s="6"/>
    </row>
    <row r="263" spans="1:22" hidden="1" x14ac:dyDescent="0.3">
      <c r="A263" s="5">
        <v>897285</v>
      </c>
      <c r="B263" s="5" t="s">
        <v>819</v>
      </c>
      <c r="D263" s="5" t="s">
        <v>820</v>
      </c>
      <c r="G263" s="19" t="b">
        <f t="shared" si="4"/>
        <v>0</v>
      </c>
      <c r="H263" s="19" t="b">
        <f>AND(J263&lt;&gt;"", T263&gt;75)</f>
        <v>0</v>
      </c>
      <c r="I263" s="6">
        <v>340081</v>
      </c>
      <c r="J263" s="6" t="s">
        <v>821</v>
      </c>
      <c r="K263" s="6" t="s">
        <v>540</v>
      </c>
      <c r="L263" s="14" t="s">
        <v>822</v>
      </c>
      <c r="M263" s="6">
        <v>39121444</v>
      </c>
      <c r="N263" s="6" t="s">
        <v>823</v>
      </c>
      <c r="O263" s="6">
        <v>262466</v>
      </c>
      <c r="P263" s="6" t="s">
        <v>824</v>
      </c>
      <c r="Q263" s="6" t="s">
        <v>540</v>
      </c>
      <c r="S263" s="8">
        <v>0.716578958937924</v>
      </c>
      <c r="T263" s="8">
        <v>45.877974584629598</v>
      </c>
      <c r="U263" s="8">
        <v>37.545079789939997</v>
      </c>
      <c r="V263" s="8">
        <v>68.3157917875848</v>
      </c>
    </row>
    <row r="264" spans="1:22" x14ac:dyDescent="0.3">
      <c r="A264" s="5">
        <v>897288</v>
      </c>
      <c r="B264" s="5" t="s">
        <v>825</v>
      </c>
      <c r="C264" s="5" t="s">
        <v>826</v>
      </c>
      <c r="D264" s="5" t="s">
        <v>827</v>
      </c>
      <c r="G264" s="19" t="b">
        <f t="shared" si="4"/>
        <v>0</v>
      </c>
      <c r="H264" s="19" t="b">
        <f>AND(J264&lt;&gt;"", T264&gt;75)</f>
        <v>0</v>
      </c>
      <c r="J264" s="6"/>
    </row>
    <row r="265" spans="1:22" x14ac:dyDescent="0.3">
      <c r="A265" s="5">
        <v>897289</v>
      </c>
      <c r="B265" s="5" t="s">
        <v>828</v>
      </c>
      <c r="C265" s="5" t="s">
        <v>826</v>
      </c>
      <c r="D265" s="5" t="s">
        <v>827</v>
      </c>
      <c r="G265" s="19" t="b">
        <f t="shared" si="4"/>
        <v>0</v>
      </c>
      <c r="H265" s="19" t="b">
        <f>AND(J265&lt;&gt;"", T265&gt;75)</f>
        <v>0</v>
      </c>
      <c r="J265" s="6"/>
    </row>
    <row r="266" spans="1:22" x14ac:dyDescent="0.3">
      <c r="A266" s="5">
        <v>897290</v>
      </c>
      <c r="B266" s="5" t="s">
        <v>829</v>
      </c>
      <c r="G266" s="19" t="b">
        <f t="shared" si="4"/>
        <v>1</v>
      </c>
      <c r="H266" s="19" t="b">
        <f>AND(J266&lt;&gt;"", T266&gt;75)</f>
        <v>0</v>
      </c>
      <c r="J266" s="6"/>
      <c r="Q266" s="6" t="s">
        <v>815</v>
      </c>
      <c r="R266" s="6" t="s">
        <v>815</v>
      </c>
      <c r="U266" s="7">
        <v>90</v>
      </c>
    </row>
    <row r="267" spans="1:22" x14ac:dyDescent="0.3">
      <c r="A267" s="5">
        <v>897291</v>
      </c>
      <c r="B267" s="5" t="s">
        <v>830</v>
      </c>
      <c r="D267" s="5" t="s">
        <v>831</v>
      </c>
      <c r="G267" s="19" t="b">
        <f t="shared" si="4"/>
        <v>0</v>
      </c>
      <c r="H267" s="19" t="b">
        <f>AND(J267&lt;&gt;"", T267&gt;75)</f>
        <v>0</v>
      </c>
      <c r="J267" s="6"/>
    </row>
    <row r="268" spans="1:22" x14ac:dyDescent="0.3">
      <c r="A268" s="5">
        <v>897292</v>
      </c>
      <c r="B268" s="5" t="s">
        <v>832</v>
      </c>
      <c r="D268" s="5" t="s">
        <v>833</v>
      </c>
      <c r="G268" s="19" t="b">
        <f t="shared" si="4"/>
        <v>1</v>
      </c>
      <c r="H268" s="19" t="b">
        <f>AND(J268&lt;&gt;"", T268&gt;75)</f>
        <v>0</v>
      </c>
      <c r="J268" s="6"/>
      <c r="Q268" s="6" t="s">
        <v>834</v>
      </c>
      <c r="R268" s="6" t="s">
        <v>835</v>
      </c>
      <c r="U268" s="7">
        <v>60</v>
      </c>
    </row>
    <row r="269" spans="1:22" hidden="1" x14ac:dyDescent="0.3">
      <c r="A269" s="5">
        <v>897293</v>
      </c>
      <c r="B269" s="5" t="s">
        <v>836</v>
      </c>
      <c r="D269" s="5" t="s">
        <v>837</v>
      </c>
      <c r="G269" s="19" t="b">
        <f t="shared" si="4"/>
        <v>0</v>
      </c>
      <c r="H269" s="19" t="b">
        <f>AND(J269&lt;&gt;"", T269&gt;75)</f>
        <v>0</v>
      </c>
      <c r="I269" s="6">
        <v>283635</v>
      </c>
      <c r="J269" s="6">
        <v>50125</v>
      </c>
      <c r="K269" s="6" t="s">
        <v>212</v>
      </c>
      <c r="L269" s="14" t="s">
        <v>838</v>
      </c>
      <c r="M269" s="6">
        <v>27112805</v>
      </c>
      <c r="O269" s="6">
        <v>49797</v>
      </c>
      <c r="P269" s="6" t="s">
        <v>839</v>
      </c>
      <c r="Q269" s="6" t="s">
        <v>212</v>
      </c>
      <c r="S269" s="8">
        <v>0.347671537032127</v>
      </c>
      <c r="T269" s="8">
        <v>49.8835768516063</v>
      </c>
      <c r="U269" s="8">
        <v>55.8835768516063</v>
      </c>
      <c r="V269" s="7">
        <v>0</v>
      </c>
    </row>
    <row r="270" spans="1:22" hidden="1" x14ac:dyDescent="0.3">
      <c r="A270" s="5">
        <v>897294</v>
      </c>
      <c r="B270" s="5" t="s">
        <v>840</v>
      </c>
      <c r="D270" s="5" t="s">
        <v>841</v>
      </c>
      <c r="G270" s="19" t="b">
        <f t="shared" si="4"/>
        <v>0</v>
      </c>
      <c r="H270" s="19" t="b">
        <f>AND(J270&lt;&gt;"", T270&gt;75)</f>
        <v>0</v>
      </c>
      <c r="I270" s="6">
        <v>283635</v>
      </c>
      <c r="J270" s="6">
        <v>50125</v>
      </c>
      <c r="K270" s="6" t="s">
        <v>212</v>
      </c>
      <c r="L270" s="14" t="s">
        <v>838</v>
      </c>
      <c r="M270" s="6">
        <v>27112805</v>
      </c>
      <c r="O270" s="6">
        <v>49797</v>
      </c>
      <c r="P270" s="6" t="s">
        <v>839</v>
      </c>
      <c r="Q270" s="6" t="s">
        <v>212</v>
      </c>
      <c r="S270" s="8">
        <v>0.34504091279194998</v>
      </c>
      <c r="T270" s="8">
        <v>49.752045639597497</v>
      </c>
      <c r="U270" s="8">
        <v>55.752045639597497</v>
      </c>
      <c r="V270" s="7">
        <v>0</v>
      </c>
    </row>
    <row r="271" spans="1:22" x14ac:dyDescent="0.3">
      <c r="A271" s="5">
        <v>897295</v>
      </c>
      <c r="B271" s="5" t="s">
        <v>842</v>
      </c>
      <c r="G271" s="19" t="b">
        <f t="shared" si="4"/>
        <v>1</v>
      </c>
      <c r="H271" s="19" t="b">
        <f>AND(J271&lt;&gt;"", T271&gt;75)</f>
        <v>0</v>
      </c>
      <c r="J271" s="6"/>
      <c r="Q271" s="6" t="s">
        <v>221</v>
      </c>
      <c r="R271" s="6" t="s">
        <v>221</v>
      </c>
      <c r="U271" s="7">
        <v>95</v>
      </c>
    </row>
    <row r="272" spans="1:22" x14ac:dyDescent="0.3">
      <c r="A272" s="5">
        <v>897296</v>
      </c>
      <c r="B272" s="5" t="s">
        <v>843</v>
      </c>
      <c r="C272" s="5" t="s">
        <v>844</v>
      </c>
      <c r="D272" s="5">
        <v>625</v>
      </c>
      <c r="G272" s="19" t="b">
        <f t="shared" si="4"/>
        <v>0</v>
      </c>
      <c r="H272" s="19" t="b">
        <f>AND(J272&lt;&gt;"", T272&gt;75)</f>
        <v>0</v>
      </c>
      <c r="J272" s="6"/>
    </row>
    <row r="273" spans="1:21" x14ac:dyDescent="0.3">
      <c r="A273" s="5">
        <v>897297</v>
      </c>
      <c r="B273" s="5" t="s">
        <v>845</v>
      </c>
      <c r="G273" s="19" t="b">
        <f t="shared" si="4"/>
        <v>0</v>
      </c>
      <c r="H273" s="19" t="b">
        <f>AND(J273&lt;&gt;"", T273&gt;75)</f>
        <v>0</v>
      </c>
      <c r="J273" s="6"/>
    </row>
    <row r="274" spans="1:21" x14ac:dyDescent="0.3">
      <c r="A274" s="5">
        <v>897298</v>
      </c>
      <c r="B274" s="5" t="s">
        <v>846</v>
      </c>
      <c r="C274" s="5" t="s">
        <v>847</v>
      </c>
      <c r="D274" s="5" t="s">
        <v>848</v>
      </c>
      <c r="G274" s="19" t="b">
        <f t="shared" si="4"/>
        <v>0</v>
      </c>
      <c r="H274" s="19" t="b">
        <f>AND(J274&lt;&gt;"", T274&gt;75)</f>
        <v>0</v>
      </c>
      <c r="J274" s="6"/>
    </row>
    <row r="275" spans="1:21" x14ac:dyDescent="0.3">
      <c r="A275" s="5">
        <v>897299</v>
      </c>
      <c r="B275" s="5" t="s">
        <v>849</v>
      </c>
      <c r="C275" s="5" t="s">
        <v>847</v>
      </c>
      <c r="D275" s="5" t="s">
        <v>850</v>
      </c>
      <c r="G275" s="19" t="b">
        <f t="shared" si="4"/>
        <v>0</v>
      </c>
      <c r="H275" s="19" t="b">
        <f>AND(J275&lt;&gt;"", T275&gt;75)</f>
        <v>0</v>
      </c>
      <c r="J275" s="6"/>
    </row>
    <row r="276" spans="1:21" x14ac:dyDescent="0.3">
      <c r="A276" s="5">
        <v>897300</v>
      </c>
      <c r="B276" s="5" t="s">
        <v>851</v>
      </c>
      <c r="G276" s="19" t="b">
        <f t="shared" si="4"/>
        <v>0</v>
      </c>
      <c r="H276" s="19" t="b">
        <f>AND(J276&lt;&gt;"", T276&gt;75)</f>
        <v>0</v>
      </c>
      <c r="J276" s="6"/>
    </row>
    <row r="277" spans="1:21" x14ac:dyDescent="0.3">
      <c r="A277" s="5">
        <v>897301</v>
      </c>
      <c r="B277" s="5" t="s">
        <v>852</v>
      </c>
      <c r="C277" s="5" t="s">
        <v>817</v>
      </c>
      <c r="D277" s="5" t="s">
        <v>853</v>
      </c>
      <c r="G277" s="19" t="b">
        <f t="shared" si="4"/>
        <v>0</v>
      </c>
      <c r="H277" s="19" t="b">
        <f>AND(J277&lt;&gt;"", T277&gt;75)</f>
        <v>0</v>
      </c>
      <c r="J277" s="6"/>
    </row>
    <row r="278" spans="1:21" x14ac:dyDescent="0.3">
      <c r="A278" s="5">
        <v>897302</v>
      </c>
      <c r="B278" s="5" t="s">
        <v>854</v>
      </c>
      <c r="G278" s="19" t="b">
        <f t="shared" si="4"/>
        <v>0</v>
      </c>
      <c r="H278" s="19" t="b">
        <f>AND(J278&lt;&gt;"", T278&gt;75)</f>
        <v>0</v>
      </c>
      <c r="J278" s="6"/>
    </row>
    <row r="279" spans="1:21" x14ac:dyDescent="0.3">
      <c r="A279" s="5">
        <v>897303</v>
      </c>
      <c r="B279" s="5" t="s">
        <v>513</v>
      </c>
      <c r="G279" s="19" t="b">
        <f t="shared" si="4"/>
        <v>0</v>
      </c>
      <c r="H279" s="19" t="b">
        <f>AND(J279&lt;&gt;"", T279&gt;75)</f>
        <v>0</v>
      </c>
      <c r="J279" s="6"/>
    </row>
    <row r="280" spans="1:21" x14ac:dyDescent="0.3">
      <c r="A280" s="5">
        <v>897304</v>
      </c>
      <c r="B280" s="5" t="s">
        <v>855</v>
      </c>
      <c r="C280" s="5" t="s">
        <v>826</v>
      </c>
      <c r="D280" s="5" t="s">
        <v>856</v>
      </c>
      <c r="F280" s="16">
        <v>1050389234</v>
      </c>
      <c r="G280" s="19" t="b">
        <f t="shared" si="4"/>
        <v>0</v>
      </c>
      <c r="H280" s="19" t="b">
        <f>AND(J280&lt;&gt;"", T280&gt;75)</f>
        <v>0</v>
      </c>
      <c r="J280" s="6"/>
    </row>
    <row r="281" spans="1:21" x14ac:dyDescent="0.3">
      <c r="A281" s="5">
        <v>897305</v>
      </c>
      <c r="B281" s="5" t="s">
        <v>857</v>
      </c>
      <c r="G281" s="19" t="b">
        <f t="shared" si="4"/>
        <v>0</v>
      </c>
      <c r="H281" s="19" t="b">
        <f>AND(J281&lt;&gt;"", T281&gt;75)</f>
        <v>0</v>
      </c>
      <c r="J281" s="6"/>
    </row>
    <row r="282" spans="1:21" x14ac:dyDescent="0.3">
      <c r="A282" s="5">
        <v>897306</v>
      </c>
      <c r="B282" s="5" t="s">
        <v>519</v>
      </c>
      <c r="G282" s="19" t="b">
        <f t="shared" si="4"/>
        <v>0</v>
      </c>
      <c r="H282" s="19" t="b">
        <f>AND(J282&lt;&gt;"", T282&gt;75)</f>
        <v>0</v>
      </c>
      <c r="J282" s="6"/>
    </row>
    <row r="283" spans="1:21" x14ac:dyDescent="0.3">
      <c r="A283" s="5">
        <v>897307</v>
      </c>
      <c r="B283" s="5" t="s">
        <v>858</v>
      </c>
      <c r="C283" s="5" t="s">
        <v>859</v>
      </c>
      <c r="D283" s="5" t="s">
        <v>853</v>
      </c>
      <c r="G283" s="19" t="b">
        <f t="shared" si="4"/>
        <v>0</v>
      </c>
      <c r="H283" s="19" t="b">
        <f>AND(J283&lt;&gt;"", T283&gt;75)</f>
        <v>0</v>
      </c>
      <c r="J283" s="6"/>
    </row>
    <row r="284" spans="1:21" x14ac:dyDescent="0.3">
      <c r="A284" s="5">
        <v>897308</v>
      </c>
      <c r="B284" s="5" t="s">
        <v>860</v>
      </c>
      <c r="C284" s="5" t="s">
        <v>861</v>
      </c>
      <c r="D284" s="5" t="s">
        <v>862</v>
      </c>
      <c r="G284" s="19" t="b">
        <f t="shared" si="4"/>
        <v>0</v>
      </c>
      <c r="H284" s="19" t="b">
        <f>AND(J284&lt;&gt;"", T284&gt;75)</f>
        <v>0</v>
      </c>
      <c r="J284" s="6"/>
    </row>
    <row r="285" spans="1:21" x14ac:dyDescent="0.3">
      <c r="A285" s="5">
        <v>897309</v>
      </c>
      <c r="B285" s="5" t="s">
        <v>863</v>
      </c>
      <c r="D285" s="5" t="s">
        <v>864</v>
      </c>
      <c r="G285" s="19" t="b">
        <f t="shared" si="4"/>
        <v>0</v>
      </c>
      <c r="H285" s="19" t="b">
        <f>AND(J285&lt;&gt;"", T285&gt;75)</f>
        <v>0</v>
      </c>
      <c r="J285" s="6"/>
    </row>
    <row r="286" spans="1:21" x14ac:dyDescent="0.3">
      <c r="A286" s="5">
        <v>897310</v>
      </c>
      <c r="B286" s="5" t="s">
        <v>865</v>
      </c>
      <c r="G286" s="19" t="b">
        <f t="shared" si="4"/>
        <v>0</v>
      </c>
      <c r="H286" s="19" t="b">
        <f>AND(J286&lt;&gt;"", T286&gt;75)</f>
        <v>0</v>
      </c>
      <c r="J286" s="6"/>
    </row>
    <row r="287" spans="1:21" x14ac:dyDescent="0.3">
      <c r="A287" s="5">
        <v>897311</v>
      </c>
      <c r="B287" s="5" t="s">
        <v>866</v>
      </c>
      <c r="G287" s="19" t="b">
        <f t="shared" si="4"/>
        <v>1</v>
      </c>
      <c r="H287" s="19" t="b">
        <f>AND(J287&lt;&gt;"", T287&gt;75)</f>
        <v>0</v>
      </c>
      <c r="J287" s="6"/>
      <c r="Q287" s="6" t="s">
        <v>867</v>
      </c>
      <c r="R287" s="6" t="s">
        <v>867</v>
      </c>
      <c r="U287" s="7">
        <v>80</v>
      </c>
    </row>
    <row r="288" spans="1:21" x14ac:dyDescent="0.3">
      <c r="A288" s="5">
        <v>897312</v>
      </c>
      <c r="B288" s="5" t="s">
        <v>865</v>
      </c>
      <c r="G288" s="19" t="b">
        <f t="shared" si="4"/>
        <v>0</v>
      </c>
      <c r="H288" s="19" t="b">
        <f>AND(J288&lt;&gt;"", T288&gt;75)</f>
        <v>0</v>
      </c>
      <c r="J288" s="6"/>
    </row>
    <row r="289" spans="1:21" x14ac:dyDescent="0.3">
      <c r="A289" s="5">
        <v>897313</v>
      </c>
      <c r="B289" s="5" t="s">
        <v>866</v>
      </c>
      <c r="G289" s="19" t="b">
        <f t="shared" si="4"/>
        <v>1</v>
      </c>
      <c r="H289" s="19" t="b">
        <f>AND(J289&lt;&gt;"", T289&gt;75)</f>
        <v>0</v>
      </c>
      <c r="J289" s="6"/>
      <c r="Q289" s="6" t="s">
        <v>867</v>
      </c>
      <c r="R289" s="6" t="s">
        <v>867</v>
      </c>
      <c r="U289" s="7">
        <v>80</v>
      </c>
    </row>
    <row r="290" spans="1:21" x14ac:dyDescent="0.3">
      <c r="A290" s="5">
        <v>897314</v>
      </c>
      <c r="B290" s="5" t="s">
        <v>868</v>
      </c>
      <c r="G290" s="19" t="b">
        <f t="shared" si="4"/>
        <v>1</v>
      </c>
      <c r="H290" s="19" t="b">
        <f>AND(J290&lt;&gt;"", T290&gt;75)</f>
        <v>0</v>
      </c>
      <c r="J290" s="6"/>
      <c r="Q290" s="6" t="s">
        <v>794</v>
      </c>
      <c r="R290" s="6" t="s">
        <v>795</v>
      </c>
      <c r="U290" s="7">
        <v>50</v>
      </c>
    </row>
    <row r="291" spans="1:21" x14ac:dyDescent="0.3">
      <c r="A291" s="5">
        <v>897315</v>
      </c>
      <c r="B291" s="5" t="s">
        <v>869</v>
      </c>
      <c r="G291" s="19" t="b">
        <f t="shared" si="4"/>
        <v>1</v>
      </c>
      <c r="H291" s="19" t="b">
        <f>AND(J291&lt;&gt;"", T291&gt;75)</f>
        <v>0</v>
      </c>
      <c r="J291" s="6"/>
      <c r="Q291" s="6" t="s">
        <v>794</v>
      </c>
      <c r="R291" s="6" t="s">
        <v>795</v>
      </c>
      <c r="U291" s="7">
        <v>95</v>
      </c>
    </row>
    <row r="292" spans="1:21" x14ac:dyDescent="0.3">
      <c r="A292" s="5">
        <v>897316</v>
      </c>
      <c r="B292" s="5" t="s">
        <v>870</v>
      </c>
      <c r="C292" s="5" t="s">
        <v>871</v>
      </c>
      <c r="D292" s="5" t="s">
        <v>872</v>
      </c>
      <c r="G292" s="19" t="b">
        <f t="shared" si="4"/>
        <v>0</v>
      </c>
      <c r="H292" s="19" t="b">
        <f>AND(J292&lt;&gt;"", T292&gt;75)</f>
        <v>0</v>
      </c>
      <c r="J292" s="6"/>
    </row>
    <row r="293" spans="1:21" x14ac:dyDescent="0.3">
      <c r="A293" s="5">
        <v>897317</v>
      </c>
      <c r="B293" s="5" t="s">
        <v>873</v>
      </c>
      <c r="G293" s="19" t="b">
        <f t="shared" si="4"/>
        <v>1</v>
      </c>
      <c r="H293" s="19" t="b">
        <f>AND(J293&lt;&gt;"", T293&gt;75)</f>
        <v>0</v>
      </c>
      <c r="J293" s="6"/>
      <c r="Q293" s="6" t="s">
        <v>794</v>
      </c>
      <c r="R293" s="6" t="s">
        <v>795</v>
      </c>
      <c r="U293" s="7">
        <v>50</v>
      </c>
    </row>
    <row r="294" spans="1:21" x14ac:dyDescent="0.3">
      <c r="A294" s="5">
        <v>897318</v>
      </c>
      <c r="B294" s="5" t="s">
        <v>874</v>
      </c>
      <c r="G294" s="19" t="b">
        <f t="shared" si="4"/>
        <v>0</v>
      </c>
      <c r="H294" s="19" t="b">
        <f>AND(J294&lt;&gt;"", T294&gt;75)</f>
        <v>0</v>
      </c>
      <c r="J294" s="6"/>
    </row>
    <row r="295" spans="1:21" x14ac:dyDescent="0.3">
      <c r="A295" s="5">
        <v>897319</v>
      </c>
      <c r="B295" s="5" t="s">
        <v>869</v>
      </c>
      <c r="G295" s="19" t="b">
        <f t="shared" si="4"/>
        <v>1</v>
      </c>
      <c r="H295" s="19" t="b">
        <f>AND(J295&lt;&gt;"", T295&gt;75)</f>
        <v>0</v>
      </c>
      <c r="J295" s="6"/>
      <c r="Q295" s="6" t="s">
        <v>794</v>
      </c>
      <c r="R295" s="6" t="s">
        <v>795</v>
      </c>
      <c r="U295" s="7">
        <v>95</v>
      </c>
    </row>
    <row r="296" spans="1:21" x14ac:dyDescent="0.3">
      <c r="A296" s="5">
        <v>897320</v>
      </c>
      <c r="B296" s="5" t="s">
        <v>875</v>
      </c>
      <c r="C296" s="5" t="s">
        <v>876</v>
      </c>
      <c r="D296" s="5" t="s">
        <v>877</v>
      </c>
      <c r="G296" s="19" t="b">
        <f t="shared" si="4"/>
        <v>0</v>
      </c>
      <c r="H296" s="19" t="b">
        <f>AND(J296&lt;&gt;"", T296&gt;75)</f>
        <v>0</v>
      </c>
      <c r="J296" s="6"/>
    </row>
    <row r="297" spans="1:21" x14ac:dyDescent="0.3">
      <c r="A297" s="5">
        <v>897321</v>
      </c>
      <c r="B297" s="5" t="s">
        <v>878</v>
      </c>
      <c r="G297" s="19" t="b">
        <f t="shared" si="4"/>
        <v>0</v>
      </c>
      <c r="H297" s="19" t="b">
        <f>AND(J297&lt;&gt;"", T297&gt;75)</f>
        <v>0</v>
      </c>
      <c r="J297" s="6"/>
    </row>
    <row r="298" spans="1:21" x14ac:dyDescent="0.3">
      <c r="A298" s="5">
        <v>897322</v>
      </c>
      <c r="B298" s="5" t="s">
        <v>879</v>
      </c>
      <c r="C298" s="5" t="s">
        <v>880</v>
      </c>
      <c r="D298" s="5" t="s">
        <v>881</v>
      </c>
      <c r="G298" s="19" t="b">
        <f t="shared" si="4"/>
        <v>0</v>
      </c>
      <c r="H298" s="19" t="b">
        <f>AND(J298&lt;&gt;"", T298&gt;75)</f>
        <v>0</v>
      </c>
      <c r="J298" s="6"/>
    </row>
    <row r="299" spans="1:21" x14ac:dyDescent="0.3">
      <c r="A299" s="5">
        <v>897323</v>
      </c>
      <c r="B299" s="5" t="s">
        <v>882</v>
      </c>
      <c r="C299" s="5" t="s">
        <v>861</v>
      </c>
      <c r="D299" s="5" t="s">
        <v>862</v>
      </c>
      <c r="G299" s="19" t="b">
        <f t="shared" si="4"/>
        <v>0</v>
      </c>
      <c r="H299" s="19" t="b">
        <f>AND(J299&lt;&gt;"", T299&gt;75)</f>
        <v>0</v>
      </c>
      <c r="J299" s="6"/>
    </row>
    <row r="300" spans="1:21" x14ac:dyDescent="0.3">
      <c r="A300" s="5">
        <v>897324</v>
      </c>
      <c r="B300" s="5" t="s">
        <v>883</v>
      </c>
      <c r="G300" s="19" t="b">
        <f t="shared" si="4"/>
        <v>1</v>
      </c>
      <c r="H300" s="19" t="b">
        <f>AND(J300&lt;&gt;"", T300&gt;75)</f>
        <v>0</v>
      </c>
      <c r="J300" s="6"/>
      <c r="Q300" s="6" t="s">
        <v>815</v>
      </c>
      <c r="R300" s="6" t="s">
        <v>815</v>
      </c>
      <c r="U300" s="7">
        <v>90</v>
      </c>
    </row>
    <row r="301" spans="1:21" x14ac:dyDescent="0.3">
      <c r="A301" s="5">
        <v>897325</v>
      </c>
      <c r="B301" s="5" t="s">
        <v>884</v>
      </c>
      <c r="C301" s="5" t="s">
        <v>876</v>
      </c>
      <c r="D301" s="5" t="s">
        <v>877</v>
      </c>
      <c r="G301" s="19" t="b">
        <f t="shared" si="4"/>
        <v>0</v>
      </c>
      <c r="H301" s="19" t="b">
        <f>AND(J301&lt;&gt;"", T301&gt;75)</f>
        <v>0</v>
      </c>
      <c r="J301" s="6"/>
    </row>
    <row r="302" spans="1:21" x14ac:dyDescent="0.3">
      <c r="A302" s="5">
        <v>897326</v>
      </c>
      <c r="B302" s="5" t="s">
        <v>885</v>
      </c>
      <c r="C302" s="5" t="s">
        <v>861</v>
      </c>
      <c r="D302" s="5" t="s">
        <v>862</v>
      </c>
      <c r="G302" s="19" t="b">
        <f t="shared" si="4"/>
        <v>0</v>
      </c>
      <c r="H302" s="19" t="b">
        <f>AND(J302&lt;&gt;"", T302&gt;75)</f>
        <v>0</v>
      </c>
      <c r="J302" s="6"/>
    </row>
    <row r="303" spans="1:21" x14ac:dyDescent="0.3">
      <c r="A303" s="5">
        <v>897327</v>
      </c>
      <c r="B303" s="5" t="s">
        <v>878</v>
      </c>
      <c r="G303" s="19" t="b">
        <f t="shared" si="4"/>
        <v>0</v>
      </c>
      <c r="H303" s="19" t="b">
        <f>AND(J303&lt;&gt;"", T303&gt;75)</f>
        <v>0</v>
      </c>
      <c r="J303" s="6"/>
    </row>
    <row r="304" spans="1:21" x14ac:dyDescent="0.3">
      <c r="A304" s="5">
        <v>897328</v>
      </c>
      <c r="B304" s="5" t="s">
        <v>513</v>
      </c>
      <c r="G304" s="19" t="b">
        <f t="shared" si="4"/>
        <v>0</v>
      </c>
      <c r="H304" s="19" t="b">
        <f>AND(J304&lt;&gt;"", T304&gt;75)</f>
        <v>0</v>
      </c>
      <c r="J304" s="6"/>
    </row>
    <row r="305" spans="1:22" hidden="1" x14ac:dyDescent="0.3">
      <c r="A305" s="5">
        <v>897329</v>
      </c>
      <c r="B305" s="5" t="s">
        <v>886</v>
      </c>
      <c r="D305" s="5" t="s">
        <v>887</v>
      </c>
      <c r="G305" s="19" t="b">
        <f t="shared" si="4"/>
        <v>0</v>
      </c>
      <c r="H305" s="19" t="b">
        <f>AND(J305&lt;&gt;"", T305&gt;75)</f>
        <v>0</v>
      </c>
      <c r="I305" s="6">
        <v>289675</v>
      </c>
      <c r="J305" s="6">
        <v>40800</v>
      </c>
      <c r="K305" s="6" t="s">
        <v>212</v>
      </c>
      <c r="L305" s="14" t="s">
        <v>888</v>
      </c>
      <c r="M305" s="6">
        <v>27112831</v>
      </c>
      <c r="O305" s="6">
        <v>121128</v>
      </c>
      <c r="P305" s="6" t="s">
        <v>889</v>
      </c>
      <c r="Q305" s="6" t="s">
        <v>212</v>
      </c>
      <c r="S305" s="8">
        <v>0.40210906633886301</v>
      </c>
      <c r="T305" s="8">
        <v>52.605453316943098</v>
      </c>
      <c r="U305" s="8">
        <v>58.605453316943098</v>
      </c>
      <c r="V305" s="7">
        <v>0</v>
      </c>
    </row>
    <row r="306" spans="1:22" x14ac:dyDescent="0.3">
      <c r="A306" s="5">
        <v>897330</v>
      </c>
      <c r="B306" s="5" t="s">
        <v>519</v>
      </c>
      <c r="G306" s="19" t="b">
        <f t="shared" si="4"/>
        <v>0</v>
      </c>
      <c r="H306" s="19" t="b">
        <f>AND(J306&lt;&gt;"", T306&gt;75)</f>
        <v>0</v>
      </c>
      <c r="J306" s="6"/>
    </row>
    <row r="307" spans="1:22" x14ac:dyDescent="0.3">
      <c r="A307" s="5">
        <v>897331</v>
      </c>
      <c r="B307" s="5" t="s">
        <v>890</v>
      </c>
      <c r="D307" s="5" t="s">
        <v>891</v>
      </c>
      <c r="G307" s="19" t="b">
        <f t="shared" si="4"/>
        <v>0</v>
      </c>
      <c r="H307" s="19" t="b">
        <f>AND(J307&lt;&gt;"", T307&gt;75)</f>
        <v>0</v>
      </c>
      <c r="J307" s="6"/>
    </row>
    <row r="308" spans="1:22" hidden="1" x14ac:dyDescent="0.3">
      <c r="A308" s="5">
        <v>897332</v>
      </c>
      <c r="B308" s="5" t="s">
        <v>892</v>
      </c>
      <c r="D308" s="5" t="s">
        <v>893</v>
      </c>
      <c r="G308" s="19" t="b">
        <f t="shared" si="4"/>
        <v>0</v>
      </c>
      <c r="H308" s="19" t="b">
        <f>AND(J308&lt;&gt;"", T308&gt;75)</f>
        <v>0</v>
      </c>
      <c r="I308" s="6">
        <v>215361</v>
      </c>
      <c r="J308" s="6">
        <v>1024</v>
      </c>
      <c r="K308" s="6" t="s">
        <v>151</v>
      </c>
      <c r="L308" s="14" t="s">
        <v>894</v>
      </c>
      <c r="M308" s="6">
        <v>26111700</v>
      </c>
      <c r="O308" s="6">
        <v>127005</v>
      </c>
      <c r="P308" s="6" t="s">
        <v>895</v>
      </c>
      <c r="Q308" s="6" t="s">
        <v>151</v>
      </c>
      <c r="S308" s="8">
        <v>0.40745860107770598</v>
      </c>
      <c r="T308" s="8">
        <v>42.872930053885298</v>
      </c>
      <c r="U308" s="8">
        <v>52.872930053885298</v>
      </c>
      <c r="V308" s="7">
        <v>0</v>
      </c>
    </row>
    <row r="309" spans="1:22" hidden="1" x14ac:dyDescent="0.3">
      <c r="A309" s="5">
        <v>897333</v>
      </c>
      <c r="B309" s="5" t="s">
        <v>886</v>
      </c>
      <c r="D309" s="5" t="s">
        <v>887</v>
      </c>
      <c r="G309" s="19" t="b">
        <f t="shared" si="4"/>
        <v>0</v>
      </c>
      <c r="H309" s="19" t="b">
        <f>AND(J309&lt;&gt;"", T309&gt;75)</f>
        <v>0</v>
      </c>
      <c r="I309" s="6">
        <v>289675</v>
      </c>
      <c r="J309" s="6">
        <v>40800</v>
      </c>
      <c r="K309" s="6" t="s">
        <v>212</v>
      </c>
      <c r="L309" s="14" t="s">
        <v>888</v>
      </c>
      <c r="M309" s="6">
        <v>27112831</v>
      </c>
      <c r="O309" s="6">
        <v>121128</v>
      </c>
      <c r="P309" s="6" t="s">
        <v>889</v>
      </c>
      <c r="Q309" s="6" t="s">
        <v>212</v>
      </c>
      <c r="S309" s="8">
        <v>0.40210906633886301</v>
      </c>
      <c r="T309" s="8">
        <v>52.605453316943098</v>
      </c>
      <c r="U309" s="8">
        <v>58.605453316943098</v>
      </c>
      <c r="V309" s="7">
        <v>0</v>
      </c>
    </row>
    <row r="310" spans="1:22" x14ac:dyDescent="0.3">
      <c r="A310" s="5">
        <v>897334</v>
      </c>
      <c r="B310" s="5" t="s">
        <v>896</v>
      </c>
      <c r="D310" s="5" t="s">
        <v>897</v>
      </c>
      <c r="G310" s="19" t="b">
        <f t="shared" si="4"/>
        <v>0</v>
      </c>
      <c r="H310" s="19" t="b">
        <f>AND(J310&lt;&gt;"", T310&gt;75)</f>
        <v>0</v>
      </c>
      <c r="J310" s="6"/>
    </row>
    <row r="311" spans="1:22" x14ac:dyDescent="0.3">
      <c r="A311" s="5">
        <v>897335</v>
      </c>
      <c r="B311" s="5" t="s">
        <v>898</v>
      </c>
      <c r="D311" s="5" t="s">
        <v>899</v>
      </c>
      <c r="G311" s="19" t="b">
        <f t="shared" si="4"/>
        <v>0</v>
      </c>
      <c r="H311" s="19" t="b">
        <f>AND(J311&lt;&gt;"", T311&gt;75)</f>
        <v>0</v>
      </c>
      <c r="J311" s="6"/>
    </row>
    <row r="312" spans="1:22" x14ac:dyDescent="0.3">
      <c r="A312" s="5">
        <v>897336</v>
      </c>
      <c r="B312" s="5" t="s">
        <v>900</v>
      </c>
      <c r="G312" s="19" t="b">
        <f t="shared" si="4"/>
        <v>1</v>
      </c>
      <c r="H312" s="19" t="b">
        <f>AND(J312&lt;&gt;"", T312&gt;75)</f>
        <v>0</v>
      </c>
      <c r="J312" s="6"/>
      <c r="Q312" s="6" t="s">
        <v>221</v>
      </c>
      <c r="R312" s="6" t="s">
        <v>221</v>
      </c>
      <c r="U312" s="7">
        <v>95</v>
      </c>
    </row>
    <row r="313" spans="1:22" x14ac:dyDescent="0.3">
      <c r="A313" s="5">
        <v>897337</v>
      </c>
      <c r="B313" s="5" t="s">
        <v>901</v>
      </c>
      <c r="C313" s="5" t="s">
        <v>902</v>
      </c>
      <c r="D313" s="5" t="s">
        <v>903</v>
      </c>
      <c r="G313" s="19" t="b">
        <f t="shared" si="4"/>
        <v>0</v>
      </c>
      <c r="H313" s="19" t="b">
        <f>AND(J313&lt;&gt;"", T313&gt;75)</f>
        <v>0</v>
      </c>
      <c r="J313" s="6"/>
    </row>
    <row r="314" spans="1:22" x14ac:dyDescent="0.3">
      <c r="A314" s="5">
        <v>897338</v>
      </c>
      <c r="B314" s="5" t="s">
        <v>904</v>
      </c>
      <c r="D314" s="5" t="s">
        <v>905</v>
      </c>
      <c r="G314" s="19" t="b">
        <f t="shared" si="4"/>
        <v>0</v>
      </c>
      <c r="H314" s="19" t="b">
        <f>AND(J314&lt;&gt;"", T314&gt;75)</f>
        <v>0</v>
      </c>
      <c r="J314" s="6"/>
    </row>
    <row r="315" spans="1:22" hidden="1" x14ac:dyDescent="0.3">
      <c r="A315" s="5">
        <v>897339</v>
      </c>
      <c r="B315" s="5" t="s">
        <v>892</v>
      </c>
      <c r="D315" s="5" t="s">
        <v>893</v>
      </c>
      <c r="G315" s="19" t="b">
        <f t="shared" si="4"/>
        <v>0</v>
      </c>
      <c r="H315" s="19" t="b">
        <f>AND(J315&lt;&gt;"", T315&gt;75)</f>
        <v>0</v>
      </c>
      <c r="I315" s="6">
        <v>215361</v>
      </c>
      <c r="J315" s="6">
        <v>1024</v>
      </c>
      <c r="K315" s="6" t="s">
        <v>151</v>
      </c>
      <c r="L315" s="14" t="s">
        <v>894</v>
      </c>
      <c r="M315" s="6">
        <v>26111700</v>
      </c>
      <c r="O315" s="6">
        <v>127005</v>
      </c>
      <c r="P315" s="6" t="s">
        <v>895</v>
      </c>
      <c r="Q315" s="6" t="s">
        <v>151</v>
      </c>
      <c r="S315" s="8">
        <v>0.40745860107770598</v>
      </c>
      <c r="T315" s="8">
        <v>42.872930053885298</v>
      </c>
      <c r="U315" s="8">
        <v>52.872930053885298</v>
      </c>
      <c r="V315" s="7">
        <v>0</v>
      </c>
    </row>
    <row r="316" spans="1:22" hidden="1" x14ac:dyDescent="0.3">
      <c r="A316" s="5">
        <v>897340</v>
      </c>
      <c r="B316" s="5" t="s">
        <v>886</v>
      </c>
      <c r="D316" s="5" t="s">
        <v>887</v>
      </c>
      <c r="G316" s="19" t="b">
        <f t="shared" si="4"/>
        <v>0</v>
      </c>
      <c r="H316" s="19" t="b">
        <f>AND(J316&lt;&gt;"", T316&gt;75)</f>
        <v>0</v>
      </c>
      <c r="I316" s="6">
        <v>289675</v>
      </c>
      <c r="J316" s="6">
        <v>40800</v>
      </c>
      <c r="K316" s="6" t="s">
        <v>212</v>
      </c>
      <c r="L316" s="14" t="s">
        <v>888</v>
      </c>
      <c r="M316" s="6">
        <v>27112831</v>
      </c>
      <c r="O316" s="6">
        <v>121128</v>
      </c>
      <c r="P316" s="6" t="s">
        <v>889</v>
      </c>
      <c r="Q316" s="6" t="s">
        <v>212</v>
      </c>
      <c r="S316" s="8">
        <v>0.40210906633886301</v>
      </c>
      <c r="T316" s="8">
        <v>52.605453316943098</v>
      </c>
      <c r="U316" s="8">
        <v>58.605453316943098</v>
      </c>
      <c r="V316" s="7">
        <v>0</v>
      </c>
    </row>
    <row r="317" spans="1:22" hidden="1" x14ac:dyDescent="0.3">
      <c r="A317" s="5">
        <v>897341</v>
      </c>
      <c r="B317" s="5" t="s">
        <v>886</v>
      </c>
      <c r="D317" s="5" t="s">
        <v>887</v>
      </c>
      <c r="G317" s="19" t="b">
        <f t="shared" si="4"/>
        <v>0</v>
      </c>
      <c r="H317" s="19" t="b">
        <f>AND(J317&lt;&gt;"", T317&gt;75)</f>
        <v>0</v>
      </c>
      <c r="I317" s="6">
        <v>289675</v>
      </c>
      <c r="J317" s="6">
        <v>40800</v>
      </c>
      <c r="K317" s="6" t="s">
        <v>212</v>
      </c>
      <c r="L317" s="14" t="s">
        <v>888</v>
      </c>
      <c r="M317" s="6">
        <v>27112831</v>
      </c>
      <c r="O317" s="6">
        <v>121128</v>
      </c>
      <c r="P317" s="6" t="s">
        <v>889</v>
      </c>
      <c r="Q317" s="6" t="s">
        <v>212</v>
      </c>
      <c r="S317" s="8">
        <v>0.40210906633886301</v>
      </c>
      <c r="T317" s="8">
        <v>52.605453316943098</v>
      </c>
      <c r="U317" s="8">
        <v>58.605453316943098</v>
      </c>
      <c r="V317" s="7">
        <v>0</v>
      </c>
    </row>
    <row r="318" spans="1:22" x14ac:dyDescent="0.3">
      <c r="A318" s="5">
        <v>897342</v>
      </c>
      <c r="B318" s="5" t="s">
        <v>906</v>
      </c>
      <c r="D318" s="5" t="s">
        <v>907</v>
      </c>
      <c r="G318" s="19" t="b">
        <f t="shared" si="4"/>
        <v>0</v>
      </c>
      <c r="H318" s="19" t="b">
        <f>AND(J318&lt;&gt;"", T318&gt;75)</f>
        <v>0</v>
      </c>
      <c r="J318" s="6"/>
    </row>
    <row r="319" spans="1:22" x14ac:dyDescent="0.3">
      <c r="A319" s="5">
        <v>897343</v>
      </c>
      <c r="B319" s="5" t="s">
        <v>898</v>
      </c>
      <c r="D319" s="5" t="s">
        <v>899</v>
      </c>
      <c r="G319" s="19" t="b">
        <f t="shared" si="4"/>
        <v>0</v>
      </c>
      <c r="H319" s="19" t="b">
        <f>AND(J319&lt;&gt;"", T319&gt;75)</f>
        <v>0</v>
      </c>
      <c r="J319" s="6"/>
    </row>
    <row r="320" spans="1:22" x14ac:dyDescent="0.3">
      <c r="A320" s="5">
        <v>897344</v>
      </c>
      <c r="B320" s="5" t="s">
        <v>900</v>
      </c>
      <c r="G320" s="19" t="b">
        <f t="shared" si="4"/>
        <v>1</v>
      </c>
      <c r="H320" s="19" t="b">
        <f>AND(J320&lt;&gt;"", T320&gt;75)</f>
        <v>0</v>
      </c>
      <c r="J320" s="6"/>
      <c r="Q320" s="6" t="s">
        <v>221</v>
      </c>
      <c r="R320" s="6" t="s">
        <v>221</v>
      </c>
      <c r="U320" s="7">
        <v>95</v>
      </c>
    </row>
    <row r="321" spans="1:22" x14ac:dyDescent="0.3">
      <c r="A321" s="5">
        <v>897345</v>
      </c>
      <c r="B321" s="5" t="s">
        <v>908</v>
      </c>
      <c r="C321" s="5" t="s">
        <v>909</v>
      </c>
      <c r="D321" s="5" t="s">
        <v>910</v>
      </c>
      <c r="G321" s="19" t="b">
        <f t="shared" si="4"/>
        <v>1</v>
      </c>
      <c r="H321" s="19" t="b">
        <f>AND(J321&lt;&gt;"", T321&gt;75)</f>
        <v>0</v>
      </c>
      <c r="J321" s="6"/>
      <c r="Q321" s="6" t="s">
        <v>909</v>
      </c>
      <c r="R321" s="6" t="s">
        <v>909</v>
      </c>
      <c r="U321" s="7">
        <v>95</v>
      </c>
    </row>
    <row r="322" spans="1:22" x14ac:dyDescent="0.3">
      <c r="A322" s="5">
        <v>897346</v>
      </c>
      <c r="B322" s="5" t="s">
        <v>911</v>
      </c>
      <c r="G322" s="19" t="b">
        <f t="shared" si="4"/>
        <v>0</v>
      </c>
      <c r="H322" s="19" t="b">
        <f>AND(J322&lt;&gt;"", T322&gt;75)</f>
        <v>0</v>
      </c>
      <c r="J322" s="6"/>
    </row>
    <row r="323" spans="1:22" hidden="1" x14ac:dyDescent="0.3">
      <c r="A323" s="5">
        <v>897347</v>
      </c>
      <c r="B323" s="5" t="s">
        <v>912</v>
      </c>
      <c r="C323" s="5" t="s">
        <v>913</v>
      </c>
      <c r="D323" s="5" t="s">
        <v>914</v>
      </c>
      <c r="G323" s="19" t="b">
        <f t="shared" ref="G323:G386" si="5">(R323&lt;&gt;"")</f>
        <v>0</v>
      </c>
      <c r="H323" s="19" t="b">
        <f>AND(J323&lt;&gt;"", T323&gt;75)</f>
        <v>0</v>
      </c>
      <c r="I323" s="6">
        <v>311494</v>
      </c>
      <c r="J323" s="6">
        <v>56240</v>
      </c>
      <c r="K323" s="6" t="s">
        <v>447</v>
      </c>
      <c r="L323" s="14" t="s">
        <v>915</v>
      </c>
      <c r="M323" s="6">
        <v>39111803</v>
      </c>
      <c r="O323" s="6">
        <v>238825</v>
      </c>
      <c r="P323" s="6" t="s">
        <v>916</v>
      </c>
      <c r="Q323" s="6" t="s">
        <v>447</v>
      </c>
      <c r="S323" s="8">
        <v>0.33919058983485501</v>
      </c>
      <c r="T323" s="8">
        <v>49.4595294917427</v>
      </c>
      <c r="U323" s="8">
        <v>55.4595294917427</v>
      </c>
      <c r="V323" s="7">
        <v>0</v>
      </c>
    </row>
    <row r="324" spans="1:22" x14ac:dyDescent="0.3">
      <c r="A324" s="5">
        <v>897348</v>
      </c>
      <c r="B324" s="5" t="s">
        <v>917</v>
      </c>
      <c r="C324" s="5" t="s">
        <v>918</v>
      </c>
      <c r="D324" s="5" t="s">
        <v>919</v>
      </c>
      <c r="G324" s="19" t="b">
        <f t="shared" si="5"/>
        <v>0</v>
      </c>
      <c r="H324" s="19" t="b">
        <f>AND(J324&lt;&gt;"", T324&gt;75)</f>
        <v>0</v>
      </c>
      <c r="J324" s="6"/>
    </row>
    <row r="325" spans="1:22" x14ac:dyDescent="0.3">
      <c r="A325" s="5">
        <v>897349</v>
      </c>
      <c r="B325" s="5" t="s">
        <v>920</v>
      </c>
      <c r="C325" s="5" t="s">
        <v>921</v>
      </c>
      <c r="D325" s="5" t="s">
        <v>922</v>
      </c>
      <c r="G325" s="19" t="b">
        <f t="shared" si="5"/>
        <v>0</v>
      </c>
      <c r="H325" s="19" t="b">
        <f>AND(J325&lt;&gt;"", T325&gt;75)</f>
        <v>0</v>
      </c>
      <c r="J325" s="6"/>
    </row>
    <row r="326" spans="1:22" x14ac:dyDescent="0.3">
      <c r="A326" s="5">
        <v>897350</v>
      </c>
      <c r="B326" s="5" t="s">
        <v>923</v>
      </c>
      <c r="G326" s="19" t="b">
        <f t="shared" si="5"/>
        <v>0</v>
      </c>
      <c r="H326" s="19" t="b">
        <f>AND(J326&lt;&gt;"", T326&gt;75)</f>
        <v>0</v>
      </c>
      <c r="J326" s="6"/>
    </row>
    <row r="327" spans="1:22" x14ac:dyDescent="0.3">
      <c r="A327" s="5">
        <v>897351</v>
      </c>
      <c r="B327" s="5" t="s">
        <v>924</v>
      </c>
      <c r="G327" s="19" t="b">
        <f t="shared" si="5"/>
        <v>0</v>
      </c>
      <c r="H327" s="19" t="b">
        <f>AND(J327&lt;&gt;"", T327&gt;75)</f>
        <v>0</v>
      </c>
      <c r="J327" s="6"/>
    </row>
    <row r="328" spans="1:22" x14ac:dyDescent="0.3">
      <c r="A328" s="5">
        <v>897352</v>
      </c>
      <c r="B328" s="5" t="s">
        <v>925</v>
      </c>
      <c r="G328" s="19" t="b">
        <f t="shared" si="5"/>
        <v>0</v>
      </c>
      <c r="H328" s="19" t="b">
        <f>AND(J328&lt;&gt;"", T328&gt;75)</f>
        <v>0</v>
      </c>
      <c r="J328" s="6"/>
    </row>
    <row r="329" spans="1:22" x14ac:dyDescent="0.3">
      <c r="A329" s="5">
        <v>897353</v>
      </c>
      <c r="B329" s="5" t="s">
        <v>926</v>
      </c>
      <c r="C329" s="5" t="s">
        <v>861</v>
      </c>
      <c r="D329" s="5" t="s">
        <v>927</v>
      </c>
      <c r="G329" s="19" t="b">
        <f t="shared" si="5"/>
        <v>0</v>
      </c>
      <c r="H329" s="19" t="b">
        <f>AND(J329&lt;&gt;"", T329&gt;75)</f>
        <v>0</v>
      </c>
      <c r="J329" s="6"/>
    </row>
    <row r="330" spans="1:22" hidden="1" x14ac:dyDescent="0.3">
      <c r="A330" s="5">
        <v>897354</v>
      </c>
      <c r="B330" s="5" t="s">
        <v>928</v>
      </c>
      <c r="G330" s="19" t="b">
        <f t="shared" si="5"/>
        <v>0</v>
      </c>
      <c r="H330" s="19" t="b">
        <f>AND(J330&lt;&gt;"", T330&gt;75)</f>
        <v>0</v>
      </c>
      <c r="I330" s="6">
        <v>174056</v>
      </c>
      <c r="J330" s="6">
        <v>21825</v>
      </c>
      <c r="K330" s="6" t="s">
        <v>117</v>
      </c>
      <c r="L330" s="14" t="s">
        <v>929</v>
      </c>
      <c r="M330" s="6">
        <v>39121704</v>
      </c>
      <c r="O330" s="6">
        <v>7718</v>
      </c>
      <c r="P330" s="6" t="s">
        <v>930</v>
      </c>
      <c r="Q330" s="6" t="s">
        <v>117</v>
      </c>
      <c r="S330" s="8">
        <v>0.380811098321994</v>
      </c>
      <c r="T330" s="8">
        <v>51.540554916099701</v>
      </c>
      <c r="U330" s="8">
        <v>57.540554916099701</v>
      </c>
      <c r="V330" s="7">
        <v>0</v>
      </c>
    </row>
    <row r="331" spans="1:22" x14ac:dyDescent="0.3">
      <c r="A331" s="5">
        <v>897355</v>
      </c>
      <c r="B331" s="5" t="s">
        <v>931</v>
      </c>
      <c r="G331" s="19" t="b">
        <f t="shared" si="5"/>
        <v>1</v>
      </c>
      <c r="H331" s="19" t="b">
        <f>AND(J331&lt;&gt;"", T331&gt;75)</f>
        <v>0</v>
      </c>
      <c r="J331" s="6"/>
      <c r="Q331" s="6" t="s">
        <v>794</v>
      </c>
      <c r="R331" s="6" t="s">
        <v>795</v>
      </c>
      <c r="U331" s="7">
        <v>95</v>
      </c>
    </row>
    <row r="332" spans="1:22" x14ac:dyDescent="0.3">
      <c r="A332" s="5">
        <v>897356</v>
      </c>
      <c r="B332" s="5" t="s">
        <v>932</v>
      </c>
      <c r="C332" s="5" t="s">
        <v>933</v>
      </c>
      <c r="D332" s="5">
        <v>1055</v>
      </c>
      <c r="F332" s="17" t="s">
        <v>934</v>
      </c>
      <c r="G332" s="19" t="b">
        <f t="shared" si="5"/>
        <v>0</v>
      </c>
      <c r="H332" s="19" t="b">
        <f>AND(J332&lt;&gt;"", T332&gt;75)</f>
        <v>0</v>
      </c>
      <c r="J332" s="6"/>
    </row>
    <row r="333" spans="1:22" hidden="1" x14ac:dyDescent="0.3">
      <c r="A333" s="5">
        <v>897357</v>
      </c>
      <c r="B333" s="5" t="s">
        <v>935</v>
      </c>
      <c r="G333" s="19" t="b">
        <f t="shared" si="5"/>
        <v>0</v>
      </c>
      <c r="H333" s="19" t="b">
        <f>AND(J333&lt;&gt;"", T333&gt;75)</f>
        <v>0</v>
      </c>
      <c r="I333" s="6">
        <v>312024</v>
      </c>
      <c r="J333" s="6">
        <v>31425</v>
      </c>
      <c r="K333" s="6" t="s">
        <v>565</v>
      </c>
      <c r="L333" s="13">
        <v>783250314256</v>
      </c>
      <c r="M333" s="6">
        <v>15121500</v>
      </c>
      <c r="O333" s="6">
        <v>24257</v>
      </c>
      <c r="P333" s="6" t="s">
        <v>936</v>
      </c>
      <c r="Q333" s="6" t="s">
        <v>565</v>
      </c>
      <c r="S333" s="8">
        <v>0.44191903449716002</v>
      </c>
      <c r="T333" s="8">
        <v>26.8274070059189</v>
      </c>
      <c r="U333" s="8">
        <v>26.139935204728101</v>
      </c>
      <c r="V333" s="8">
        <v>4.38380689943211</v>
      </c>
    </row>
    <row r="334" spans="1:22" hidden="1" x14ac:dyDescent="0.3">
      <c r="A334" s="5">
        <v>897358</v>
      </c>
      <c r="B334" s="5" t="s">
        <v>937</v>
      </c>
      <c r="C334" s="5" t="s">
        <v>938</v>
      </c>
      <c r="D334" s="5">
        <v>2118</v>
      </c>
      <c r="G334" s="19" t="b">
        <f t="shared" si="5"/>
        <v>0</v>
      </c>
      <c r="H334" s="19" t="b">
        <f>AND(J334&lt;&gt;"", T334&gt;75)</f>
        <v>0</v>
      </c>
      <c r="I334" s="6">
        <v>289648</v>
      </c>
      <c r="J334" s="6">
        <v>45363</v>
      </c>
      <c r="K334" s="6" t="s">
        <v>212</v>
      </c>
      <c r="L334" s="14" t="s">
        <v>939</v>
      </c>
      <c r="M334" s="6">
        <v>41111700</v>
      </c>
      <c r="O334" s="6">
        <v>118219</v>
      </c>
      <c r="P334" s="6" t="s">
        <v>940</v>
      </c>
      <c r="Q334" s="6" t="s">
        <v>212</v>
      </c>
      <c r="S334" s="8">
        <v>0.34037810746022901</v>
      </c>
      <c r="T334" s="8">
        <v>39.5189053730114</v>
      </c>
      <c r="U334" s="8">
        <v>15.5189053730114</v>
      </c>
      <c r="V334" s="7">
        <v>0</v>
      </c>
    </row>
    <row r="335" spans="1:22" x14ac:dyDescent="0.3">
      <c r="A335" s="5">
        <v>897359</v>
      </c>
      <c r="B335" s="5" t="s">
        <v>941</v>
      </c>
      <c r="C335" s="5" t="s">
        <v>942</v>
      </c>
      <c r="D335" s="5" t="s">
        <v>943</v>
      </c>
      <c r="G335" s="19" t="b">
        <f t="shared" si="5"/>
        <v>0</v>
      </c>
      <c r="H335" s="19" t="b">
        <f>AND(J335&lt;&gt;"", T335&gt;75)</f>
        <v>0</v>
      </c>
      <c r="J335" s="6"/>
    </row>
    <row r="336" spans="1:22" x14ac:dyDescent="0.3">
      <c r="A336" s="5">
        <v>897360</v>
      </c>
      <c r="B336" s="5" t="s">
        <v>944</v>
      </c>
      <c r="G336" s="19" t="b">
        <f t="shared" si="5"/>
        <v>0</v>
      </c>
      <c r="H336" s="19" t="b">
        <f>AND(J336&lt;&gt;"", T336&gt;75)</f>
        <v>0</v>
      </c>
      <c r="J336" s="6"/>
    </row>
    <row r="337" spans="1:22" x14ac:dyDescent="0.3">
      <c r="A337" s="5">
        <v>897361</v>
      </c>
      <c r="B337" s="5" t="s">
        <v>513</v>
      </c>
      <c r="G337" s="19" t="b">
        <f t="shared" si="5"/>
        <v>0</v>
      </c>
      <c r="H337" s="19" t="b">
        <f>AND(J337&lt;&gt;"", T337&gt;75)</f>
        <v>0</v>
      </c>
      <c r="J337" s="6"/>
    </row>
    <row r="338" spans="1:22" x14ac:dyDescent="0.3">
      <c r="A338" s="5">
        <v>897362</v>
      </c>
      <c r="B338" s="5" t="s">
        <v>519</v>
      </c>
      <c r="G338" s="19" t="b">
        <f t="shared" si="5"/>
        <v>0</v>
      </c>
      <c r="H338" s="19" t="b">
        <f>AND(J338&lt;&gt;"", T338&gt;75)</f>
        <v>0</v>
      </c>
      <c r="J338" s="6"/>
    </row>
    <row r="339" spans="1:22" x14ac:dyDescent="0.3">
      <c r="A339" s="5">
        <v>897363</v>
      </c>
      <c r="B339" s="5" t="s">
        <v>945</v>
      </c>
      <c r="C339" s="5" t="s">
        <v>861</v>
      </c>
      <c r="D339" s="5" t="s">
        <v>862</v>
      </c>
      <c r="G339" s="19" t="b">
        <f t="shared" si="5"/>
        <v>0</v>
      </c>
      <c r="H339" s="19" t="b">
        <f>AND(J339&lt;&gt;"", T339&gt;75)</f>
        <v>0</v>
      </c>
      <c r="J339" s="6"/>
    </row>
    <row r="340" spans="1:22" x14ac:dyDescent="0.3">
      <c r="A340" s="5">
        <v>897364</v>
      </c>
      <c r="B340" s="5" t="s">
        <v>946</v>
      </c>
      <c r="C340" s="5" t="s">
        <v>861</v>
      </c>
      <c r="D340" s="5" t="s">
        <v>862</v>
      </c>
      <c r="G340" s="19" t="b">
        <f t="shared" si="5"/>
        <v>0</v>
      </c>
      <c r="H340" s="19" t="b">
        <f>AND(J340&lt;&gt;"", T340&gt;75)</f>
        <v>0</v>
      </c>
      <c r="J340" s="6"/>
    </row>
    <row r="341" spans="1:22" x14ac:dyDescent="0.3">
      <c r="A341" s="5">
        <v>897365</v>
      </c>
      <c r="B341" s="5" t="s">
        <v>947</v>
      </c>
      <c r="C341" s="5" t="s">
        <v>861</v>
      </c>
      <c r="D341" s="5" t="s">
        <v>862</v>
      </c>
      <c r="G341" s="19" t="b">
        <f t="shared" si="5"/>
        <v>0</v>
      </c>
      <c r="H341" s="19" t="b">
        <f>AND(J341&lt;&gt;"", T341&gt;75)</f>
        <v>0</v>
      </c>
      <c r="J341" s="6"/>
    </row>
    <row r="342" spans="1:22" x14ac:dyDescent="0.3">
      <c r="A342" s="5">
        <v>897366</v>
      </c>
      <c r="B342" s="5" t="s">
        <v>948</v>
      </c>
      <c r="C342" s="5" t="s">
        <v>949</v>
      </c>
      <c r="D342" s="5" t="s">
        <v>950</v>
      </c>
      <c r="G342" s="19" t="b">
        <f t="shared" si="5"/>
        <v>1</v>
      </c>
      <c r="H342" s="19" t="b">
        <f>AND(J342&lt;&gt;"", T342&gt;75)</f>
        <v>0</v>
      </c>
      <c r="J342" s="6"/>
      <c r="Q342" s="6" t="s">
        <v>951</v>
      </c>
      <c r="R342" s="6" t="s">
        <v>949</v>
      </c>
      <c r="U342" s="7">
        <v>80</v>
      </c>
    </row>
    <row r="343" spans="1:22" x14ac:dyDescent="0.3">
      <c r="A343" s="5">
        <v>897367</v>
      </c>
      <c r="B343" s="5" t="s">
        <v>952</v>
      </c>
      <c r="C343" s="5" t="s">
        <v>880</v>
      </c>
      <c r="D343" s="5" t="s">
        <v>953</v>
      </c>
      <c r="G343" s="19" t="b">
        <f t="shared" si="5"/>
        <v>0</v>
      </c>
      <c r="H343" s="19" t="b">
        <f>AND(J343&lt;&gt;"", T343&gt;75)</f>
        <v>0</v>
      </c>
      <c r="J343" s="6"/>
    </row>
    <row r="344" spans="1:22" x14ac:dyDescent="0.3">
      <c r="A344" s="5">
        <v>897368</v>
      </c>
      <c r="B344" s="5" t="s">
        <v>954</v>
      </c>
      <c r="C344" s="5" t="s">
        <v>880</v>
      </c>
      <c r="D344" s="5" t="s">
        <v>953</v>
      </c>
      <c r="G344" s="19" t="b">
        <f t="shared" si="5"/>
        <v>0</v>
      </c>
      <c r="H344" s="19" t="b">
        <f>AND(J344&lt;&gt;"", T344&gt;75)</f>
        <v>0</v>
      </c>
      <c r="J344" s="6"/>
    </row>
    <row r="345" spans="1:22" x14ac:dyDescent="0.3">
      <c r="A345" s="5">
        <v>897369</v>
      </c>
      <c r="B345" s="5" t="s">
        <v>955</v>
      </c>
      <c r="C345" s="5" t="s">
        <v>880</v>
      </c>
      <c r="D345" s="5" t="s">
        <v>956</v>
      </c>
      <c r="G345" s="19" t="b">
        <f t="shared" si="5"/>
        <v>0</v>
      </c>
      <c r="H345" s="19" t="b">
        <f>AND(J345&lt;&gt;"", T345&gt;75)</f>
        <v>0</v>
      </c>
      <c r="J345" s="6"/>
    </row>
    <row r="346" spans="1:22" x14ac:dyDescent="0.3">
      <c r="A346" s="5">
        <v>897370</v>
      </c>
      <c r="B346" s="5" t="s">
        <v>957</v>
      </c>
      <c r="C346" s="5" t="s">
        <v>880</v>
      </c>
      <c r="D346" s="5" t="s">
        <v>953</v>
      </c>
      <c r="G346" s="19" t="b">
        <f t="shared" si="5"/>
        <v>0</v>
      </c>
      <c r="H346" s="19" t="b">
        <f>AND(J346&lt;&gt;"", T346&gt;75)</f>
        <v>0</v>
      </c>
      <c r="J346" s="6"/>
    </row>
    <row r="347" spans="1:22" hidden="1" x14ac:dyDescent="0.3">
      <c r="A347" s="5">
        <v>897371</v>
      </c>
      <c r="B347" s="5" t="s">
        <v>958</v>
      </c>
      <c r="C347" s="5" t="s">
        <v>880</v>
      </c>
      <c r="D347" s="5" t="s">
        <v>953</v>
      </c>
      <c r="G347" s="19" t="b">
        <f t="shared" si="5"/>
        <v>0</v>
      </c>
      <c r="H347" s="19" t="b">
        <f>AND(J347&lt;&gt;"", T347&gt;75)</f>
        <v>0</v>
      </c>
      <c r="I347" s="6">
        <v>117420</v>
      </c>
      <c r="J347" s="6">
        <v>17301236</v>
      </c>
      <c r="K347" s="6" t="s">
        <v>959</v>
      </c>
      <c r="L347" s="13">
        <v>800246165323</v>
      </c>
      <c r="M347" s="6">
        <v>39121336</v>
      </c>
      <c r="O347" s="6">
        <v>218859</v>
      </c>
      <c r="P347" s="6" t="s">
        <v>960</v>
      </c>
      <c r="Q347" s="6" t="s">
        <v>959</v>
      </c>
      <c r="S347" s="8">
        <v>0.43448789711151897</v>
      </c>
      <c r="T347" s="8">
        <v>69.224394855575895</v>
      </c>
      <c r="U347" s="8">
        <v>69.224394855575895</v>
      </c>
      <c r="V347" s="8">
        <v>11.897579422303901</v>
      </c>
    </row>
    <row r="348" spans="1:22" x14ac:dyDescent="0.3">
      <c r="A348" s="5">
        <v>897372</v>
      </c>
      <c r="B348" s="5" t="s">
        <v>961</v>
      </c>
      <c r="C348" s="5" t="s">
        <v>880</v>
      </c>
      <c r="D348" s="5" t="s">
        <v>953</v>
      </c>
      <c r="G348" s="19" t="b">
        <f t="shared" si="5"/>
        <v>0</v>
      </c>
      <c r="H348" s="19" t="b">
        <f>AND(J348&lt;&gt;"", T348&gt;75)</f>
        <v>0</v>
      </c>
      <c r="J348" s="6"/>
    </row>
    <row r="349" spans="1:22" x14ac:dyDescent="0.3">
      <c r="A349" s="5">
        <v>897373</v>
      </c>
      <c r="B349" s="5" t="s">
        <v>962</v>
      </c>
      <c r="D349" s="5" t="s">
        <v>963</v>
      </c>
      <c r="G349" s="19" t="b">
        <f t="shared" si="5"/>
        <v>1</v>
      </c>
      <c r="H349" s="19" t="b">
        <f>AND(J349&lt;&gt;"", T349&gt;75)</f>
        <v>0</v>
      </c>
      <c r="J349" s="6"/>
      <c r="Q349" s="6" t="s">
        <v>964</v>
      </c>
      <c r="R349" s="6" t="s">
        <v>964</v>
      </c>
      <c r="U349" s="7">
        <v>60</v>
      </c>
    </row>
    <row r="350" spans="1:22" x14ac:dyDescent="0.3">
      <c r="A350" s="5">
        <v>897374</v>
      </c>
      <c r="B350" s="5" t="s">
        <v>965</v>
      </c>
      <c r="D350" s="5" t="s">
        <v>966</v>
      </c>
      <c r="G350" s="19" t="b">
        <f t="shared" si="5"/>
        <v>0</v>
      </c>
      <c r="H350" s="19" t="b">
        <f>AND(J350&lt;&gt;"", T350&gt;75)</f>
        <v>0</v>
      </c>
      <c r="J350" s="6"/>
    </row>
    <row r="351" spans="1:22" x14ac:dyDescent="0.3">
      <c r="A351" s="5">
        <v>897375</v>
      </c>
      <c r="B351" s="5" t="s">
        <v>967</v>
      </c>
      <c r="G351" s="19" t="b">
        <f t="shared" si="5"/>
        <v>0</v>
      </c>
      <c r="H351" s="19" t="b">
        <f>AND(J351&lt;&gt;"", T351&gt;75)</f>
        <v>0</v>
      </c>
      <c r="J351" s="6"/>
    </row>
    <row r="352" spans="1:22" hidden="1" x14ac:dyDescent="0.3">
      <c r="A352" s="5">
        <v>897376</v>
      </c>
      <c r="B352" s="5" t="s">
        <v>968</v>
      </c>
      <c r="D352" s="5" t="s">
        <v>969</v>
      </c>
      <c r="G352" s="19" t="b">
        <f t="shared" si="5"/>
        <v>0</v>
      </c>
      <c r="H352" s="19" t="b">
        <f>AND(J352&lt;&gt;"", T352&gt;75)</f>
        <v>0</v>
      </c>
      <c r="I352" s="6">
        <v>341981</v>
      </c>
      <c r="J352" s="6">
        <v>11301701</v>
      </c>
      <c r="K352" s="6" t="s">
        <v>970</v>
      </c>
      <c r="L352" s="13">
        <v>703957235081</v>
      </c>
      <c r="M352" s="6">
        <v>39131705</v>
      </c>
      <c r="N352" s="6" t="s">
        <v>971</v>
      </c>
      <c r="O352" s="6">
        <v>268324</v>
      </c>
      <c r="P352" s="6" t="s">
        <v>972</v>
      </c>
      <c r="Q352" s="6" t="s">
        <v>970</v>
      </c>
      <c r="S352" s="8">
        <v>0.69164419720578196</v>
      </c>
      <c r="T352" s="8">
        <v>39.068651958247102</v>
      </c>
      <c r="U352" s="8">
        <v>32.908343113666803</v>
      </c>
      <c r="V352" s="8">
        <v>53.328839441156397</v>
      </c>
    </row>
    <row r="353" spans="1:22" x14ac:dyDescent="0.3">
      <c r="A353" s="5">
        <v>897377</v>
      </c>
      <c r="B353" s="5" t="s">
        <v>973</v>
      </c>
      <c r="G353" s="19" t="b">
        <f t="shared" si="5"/>
        <v>0</v>
      </c>
      <c r="H353" s="19" t="b">
        <f>AND(J353&lt;&gt;"", T353&gt;75)</f>
        <v>0</v>
      </c>
      <c r="J353" s="6"/>
    </row>
    <row r="354" spans="1:22" hidden="1" x14ac:dyDescent="0.3">
      <c r="A354" s="5">
        <v>897378</v>
      </c>
      <c r="B354" s="5" t="s">
        <v>968</v>
      </c>
      <c r="D354" s="5" t="s">
        <v>969</v>
      </c>
      <c r="G354" s="19" t="b">
        <f t="shared" si="5"/>
        <v>0</v>
      </c>
      <c r="H354" s="19" t="b">
        <f>AND(J354&lt;&gt;"", T354&gt;75)</f>
        <v>0</v>
      </c>
      <c r="I354" s="6">
        <v>341981</v>
      </c>
      <c r="J354" s="6">
        <v>11301701</v>
      </c>
      <c r="K354" s="6" t="s">
        <v>970</v>
      </c>
      <c r="L354" s="13">
        <v>703957235081</v>
      </c>
      <c r="M354" s="6">
        <v>39131705</v>
      </c>
      <c r="N354" s="6" t="s">
        <v>971</v>
      </c>
      <c r="O354" s="6">
        <v>268324</v>
      </c>
      <c r="P354" s="6" t="s">
        <v>972</v>
      </c>
      <c r="Q354" s="6" t="s">
        <v>970</v>
      </c>
      <c r="S354" s="8">
        <v>0.69129174733076704</v>
      </c>
      <c r="T354" s="8">
        <v>39.067611545236701</v>
      </c>
      <c r="U354" s="8">
        <v>32.899530229776303</v>
      </c>
      <c r="V354" s="8">
        <v>53.258349466153398</v>
      </c>
    </row>
    <row r="355" spans="1:22" hidden="1" x14ac:dyDescent="0.3">
      <c r="A355" s="5">
        <v>897379</v>
      </c>
      <c r="B355" s="5" t="s">
        <v>974</v>
      </c>
      <c r="D355" s="5" t="s">
        <v>975</v>
      </c>
      <c r="G355" s="19" t="b">
        <f t="shared" si="5"/>
        <v>0</v>
      </c>
      <c r="H355" s="19" t="b">
        <f>AND(J355&lt;&gt;"", T355&gt;75)</f>
        <v>0</v>
      </c>
      <c r="I355" s="6">
        <v>191260</v>
      </c>
      <c r="J355" s="6" t="s">
        <v>976</v>
      </c>
      <c r="K355" s="6" t="s">
        <v>799</v>
      </c>
      <c r="L355" s="13">
        <v>783669470000</v>
      </c>
      <c r="M355" s="6">
        <v>39121428</v>
      </c>
      <c r="O355" s="6">
        <v>13961</v>
      </c>
      <c r="P355" s="6" t="s">
        <v>977</v>
      </c>
      <c r="Q355" s="6" t="s">
        <v>799</v>
      </c>
      <c r="S355" s="8">
        <v>0.41266298375002303</v>
      </c>
      <c r="T355" s="8">
        <v>53.133149187501097</v>
      </c>
      <c r="U355" s="8">
        <v>59.133149187501097</v>
      </c>
      <c r="V355" s="7">
        <v>0</v>
      </c>
    </row>
    <row r="356" spans="1:22" x14ac:dyDescent="0.3">
      <c r="A356" s="5">
        <v>897380</v>
      </c>
      <c r="B356" s="5" t="s">
        <v>978</v>
      </c>
      <c r="D356" s="5" t="s">
        <v>979</v>
      </c>
      <c r="G356" s="19" t="b">
        <f t="shared" si="5"/>
        <v>0</v>
      </c>
      <c r="H356" s="19" t="b">
        <f>AND(J356&lt;&gt;"", T356&gt;75)</f>
        <v>0</v>
      </c>
      <c r="J356" s="6"/>
    </row>
    <row r="357" spans="1:22" x14ac:dyDescent="0.3">
      <c r="A357" s="5">
        <v>897381</v>
      </c>
      <c r="B357" s="5" t="s">
        <v>980</v>
      </c>
      <c r="D357" s="5" t="s">
        <v>981</v>
      </c>
      <c r="G357" s="19" t="b">
        <f t="shared" si="5"/>
        <v>0</v>
      </c>
      <c r="H357" s="19" t="b">
        <f>AND(J357&lt;&gt;"", T357&gt;75)</f>
        <v>0</v>
      </c>
      <c r="J357" s="6"/>
    </row>
    <row r="358" spans="1:22" x14ac:dyDescent="0.3">
      <c r="A358" s="5">
        <v>897382</v>
      </c>
      <c r="B358" s="5" t="s">
        <v>982</v>
      </c>
      <c r="D358" s="5" t="s">
        <v>983</v>
      </c>
      <c r="G358" s="19" t="b">
        <f t="shared" si="5"/>
        <v>0</v>
      </c>
      <c r="H358" s="19" t="b">
        <f>AND(J358&lt;&gt;"", T358&gt;75)</f>
        <v>0</v>
      </c>
      <c r="J358" s="6"/>
    </row>
    <row r="359" spans="1:22" x14ac:dyDescent="0.3">
      <c r="A359" s="5">
        <v>897383</v>
      </c>
      <c r="B359" s="5" t="s">
        <v>984</v>
      </c>
      <c r="D359" s="5" t="s">
        <v>985</v>
      </c>
      <c r="G359" s="19" t="b">
        <f t="shared" si="5"/>
        <v>0</v>
      </c>
      <c r="H359" s="19" t="b">
        <f>AND(J359&lt;&gt;"", T359&gt;75)</f>
        <v>0</v>
      </c>
      <c r="J359" s="6"/>
    </row>
    <row r="360" spans="1:22" x14ac:dyDescent="0.3">
      <c r="A360" s="5">
        <v>897384</v>
      </c>
      <c r="B360" s="5" t="s">
        <v>986</v>
      </c>
      <c r="D360" s="5" t="s">
        <v>987</v>
      </c>
      <c r="G360" s="19" t="b">
        <f t="shared" si="5"/>
        <v>1</v>
      </c>
      <c r="H360" s="19" t="b">
        <f>AND(J360&lt;&gt;"", T360&gt;75)</f>
        <v>0</v>
      </c>
      <c r="J360" s="6"/>
      <c r="Q360" s="6" t="s">
        <v>964</v>
      </c>
      <c r="R360" s="6" t="s">
        <v>964</v>
      </c>
      <c r="U360" s="7">
        <v>60</v>
      </c>
    </row>
    <row r="361" spans="1:22" x14ac:dyDescent="0.3">
      <c r="A361" s="5">
        <v>897385</v>
      </c>
      <c r="B361" s="5" t="s">
        <v>988</v>
      </c>
      <c r="D361" s="5" t="s">
        <v>989</v>
      </c>
      <c r="G361" s="19" t="b">
        <f t="shared" si="5"/>
        <v>0</v>
      </c>
      <c r="H361" s="19" t="b">
        <f>AND(J361&lt;&gt;"", T361&gt;75)</f>
        <v>0</v>
      </c>
      <c r="J361" s="6"/>
    </row>
    <row r="362" spans="1:22" x14ac:dyDescent="0.3">
      <c r="A362" s="5">
        <v>897386</v>
      </c>
      <c r="B362" s="5" t="s">
        <v>990</v>
      </c>
      <c r="D362" s="5" t="s">
        <v>991</v>
      </c>
      <c r="G362" s="19" t="b">
        <f t="shared" si="5"/>
        <v>0</v>
      </c>
      <c r="H362" s="19" t="b">
        <f>AND(J362&lt;&gt;"", T362&gt;75)</f>
        <v>0</v>
      </c>
      <c r="J362" s="6"/>
    </row>
    <row r="363" spans="1:22" x14ac:dyDescent="0.3">
      <c r="A363" s="5">
        <v>897387</v>
      </c>
      <c r="B363" s="5" t="s">
        <v>898</v>
      </c>
      <c r="D363" s="5" t="s">
        <v>899</v>
      </c>
      <c r="G363" s="19" t="b">
        <f t="shared" si="5"/>
        <v>0</v>
      </c>
      <c r="H363" s="19" t="b">
        <f>AND(J363&lt;&gt;"", T363&gt;75)</f>
        <v>0</v>
      </c>
      <c r="J363" s="6"/>
    </row>
    <row r="364" spans="1:22" hidden="1" x14ac:dyDescent="0.3">
      <c r="A364" s="5">
        <v>897388</v>
      </c>
      <c r="B364" s="5" t="s">
        <v>968</v>
      </c>
      <c r="D364" s="5" t="s">
        <v>969</v>
      </c>
      <c r="G364" s="19" t="b">
        <f t="shared" si="5"/>
        <v>0</v>
      </c>
      <c r="H364" s="19" t="b">
        <f>AND(J364&lt;&gt;"", T364&gt;75)</f>
        <v>0</v>
      </c>
      <c r="I364" s="6">
        <v>341981</v>
      </c>
      <c r="J364" s="6">
        <v>11301701</v>
      </c>
      <c r="K364" s="6" t="s">
        <v>970</v>
      </c>
      <c r="L364" s="13">
        <v>703957235081</v>
      </c>
      <c r="M364" s="6">
        <v>39131705</v>
      </c>
      <c r="N364" s="6" t="s">
        <v>971</v>
      </c>
      <c r="O364" s="6">
        <v>268324</v>
      </c>
      <c r="P364" s="6" t="s">
        <v>972</v>
      </c>
      <c r="Q364" s="6" t="s">
        <v>970</v>
      </c>
      <c r="S364" s="8">
        <v>0.691658701429815</v>
      </c>
      <c r="T364" s="8">
        <v>39.068078443359198</v>
      </c>
      <c r="U364" s="8">
        <v>32.908345927887098</v>
      </c>
      <c r="V364" s="8">
        <v>53.3317402859631</v>
      </c>
    </row>
    <row r="365" spans="1:22" hidden="1" x14ac:dyDescent="0.3">
      <c r="A365" s="5">
        <v>897389</v>
      </c>
      <c r="B365" s="5" t="s">
        <v>992</v>
      </c>
      <c r="D365" s="5" t="s">
        <v>993</v>
      </c>
      <c r="G365" s="19" t="b">
        <f t="shared" si="5"/>
        <v>0</v>
      </c>
      <c r="H365" s="19" t="b">
        <f>AND(J365&lt;&gt;"", T365&gt;75)</f>
        <v>0</v>
      </c>
      <c r="I365" s="6">
        <v>292083</v>
      </c>
      <c r="J365" s="6">
        <v>1626</v>
      </c>
      <c r="K365" s="6" t="s">
        <v>994</v>
      </c>
      <c r="L365" s="13">
        <v>808475028754</v>
      </c>
      <c r="M365" s="6">
        <v>39121621</v>
      </c>
      <c r="O365" s="6">
        <v>83174</v>
      </c>
      <c r="P365" s="6" t="s">
        <v>995</v>
      </c>
      <c r="Q365" s="6" t="s">
        <v>994</v>
      </c>
      <c r="S365" s="8">
        <v>0.36736874085018401</v>
      </c>
      <c r="T365" s="8">
        <v>30.8684370425092</v>
      </c>
      <c r="U365" s="8">
        <v>10.8684370425092</v>
      </c>
      <c r="V365" s="7">
        <v>0</v>
      </c>
    </row>
    <row r="366" spans="1:22" hidden="1" x14ac:dyDescent="0.3">
      <c r="A366" s="5">
        <v>897390</v>
      </c>
      <c r="B366" s="5" t="s">
        <v>996</v>
      </c>
      <c r="D366" s="5" t="s">
        <v>997</v>
      </c>
      <c r="G366" s="19" t="b">
        <f t="shared" si="5"/>
        <v>0</v>
      </c>
      <c r="H366" s="19" t="b">
        <f>AND(J366&lt;&gt;"", T366&gt;75)</f>
        <v>1</v>
      </c>
      <c r="I366" s="6">
        <v>320641</v>
      </c>
      <c r="J366" s="11" t="s">
        <v>998</v>
      </c>
      <c r="K366" s="6" t="s">
        <v>74</v>
      </c>
      <c r="L366" s="13">
        <v>782979232964</v>
      </c>
      <c r="M366" s="6">
        <v>39111706</v>
      </c>
      <c r="O366" s="6">
        <v>177620</v>
      </c>
      <c r="P366" s="6" t="s">
        <v>999</v>
      </c>
      <c r="Q366" s="6" t="s">
        <v>74</v>
      </c>
      <c r="S366" s="8">
        <v>0.78762889050481899</v>
      </c>
      <c r="T366" s="7">
        <v>100</v>
      </c>
      <c r="U366" s="8">
        <v>95.881444525240894</v>
      </c>
      <c r="V366" s="7">
        <v>91.525778100963805</v>
      </c>
    </row>
    <row r="367" spans="1:22" x14ac:dyDescent="0.3">
      <c r="A367" s="5">
        <v>897391</v>
      </c>
      <c r="B367" s="5" t="s">
        <v>1000</v>
      </c>
      <c r="D367" s="5" t="s">
        <v>1001</v>
      </c>
      <c r="G367" s="19" t="b">
        <f t="shared" si="5"/>
        <v>1</v>
      </c>
      <c r="H367" s="19" t="b">
        <f>AND(J367&lt;&gt;"", T367&gt;75)</f>
        <v>0</v>
      </c>
      <c r="J367" s="6"/>
      <c r="Q367" s="6" t="s">
        <v>964</v>
      </c>
      <c r="R367" s="6" t="s">
        <v>964</v>
      </c>
      <c r="U367" s="7">
        <v>60</v>
      </c>
    </row>
    <row r="368" spans="1:22" x14ac:dyDescent="0.3">
      <c r="A368" s="5">
        <v>897392</v>
      </c>
      <c r="B368" s="5" t="s">
        <v>1002</v>
      </c>
      <c r="D368" s="5" t="s">
        <v>1003</v>
      </c>
      <c r="G368" s="19" t="b">
        <f t="shared" si="5"/>
        <v>1</v>
      </c>
      <c r="H368" s="19" t="b">
        <f>AND(J368&lt;&gt;"", T368&gt;75)</f>
        <v>0</v>
      </c>
      <c r="J368" s="6"/>
      <c r="Q368" s="6" t="s">
        <v>1004</v>
      </c>
      <c r="R368" s="6" t="s">
        <v>1004</v>
      </c>
      <c r="U368" s="7">
        <v>90</v>
      </c>
    </row>
    <row r="369" spans="1:22" x14ac:dyDescent="0.3">
      <c r="A369" s="5">
        <v>897393</v>
      </c>
      <c r="B369" s="5" t="s">
        <v>1005</v>
      </c>
      <c r="D369" s="5" t="s">
        <v>1003</v>
      </c>
      <c r="G369" s="19" t="b">
        <f t="shared" si="5"/>
        <v>0</v>
      </c>
      <c r="H369" s="19" t="b">
        <f>AND(J369&lt;&gt;"", T369&gt;75)</f>
        <v>0</v>
      </c>
      <c r="J369" s="6"/>
    </row>
    <row r="370" spans="1:22" x14ac:dyDescent="0.3">
      <c r="A370" s="5">
        <v>897395</v>
      </c>
      <c r="B370" s="5" t="s">
        <v>1005</v>
      </c>
      <c r="D370" s="5" t="s">
        <v>1003</v>
      </c>
      <c r="G370" s="19" t="b">
        <f t="shared" si="5"/>
        <v>0</v>
      </c>
      <c r="H370" s="19" t="b">
        <f>AND(J370&lt;&gt;"", T370&gt;75)</f>
        <v>0</v>
      </c>
      <c r="J370" s="6"/>
    </row>
    <row r="371" spans="1:22" x14ac:dyDescent="0.3">
      <c r="A371" s="5">
        <v>897396</v>
      </c>
      <c r="B371" s="5" t="s">
        <v>1006</v>
      </c>
      <c r="G371" s="19" t="b">
        <f t="shared" si="5"/>
        <v>0</v>
      </c>
      <c r="H371" s="19" t="b">
        <f>AND(J371&lt;&gt;"", T371&gt;75)</f>
        <v>0</v>
      </c>
      <c r="J371" s="6"/>
    </row>
    <row r="372" spans="1:22" x14ac:dyDescent="0.3">
      <c r="A372" s="5">
        <v>897397</v>
      </c>
      <c r="B372" s="5" t="s">
        <v>1007</v>
      </c>
      <c r="G372" s="19" t="b">
        <f t="shared" si="5"/>
        <v>0</v>
      </c>
      <c r="H372" s="19" t="b">
        <f>AND(J372&lt;&gt;"", T372&gt;75)</f>
        <v>0</v>
      </c>
      <c r="J372" s="6"/>
    </row>
    <row r="373" spans="1:22" x14ac:dyDescent="0.3">
      <c r="A373" s="5">
        <v>897398</v>
      </c>
      <c r="B373" s="5" t="s">
        <v>1008</v>
      </c>
      <c r="G373" s="19" t="b">
        <f t="shared" si="5"/>
        <v>1</v>
      </c>
      <c r="H373" s="19" t="b">
        <f>AND(J373&lt;&gt;"", T373&gt;75)</f>
        <v>0</v>
      </c>
      <c r="J373" s="6"/>
      <c r="Q373" s="6" t="s">
        <v>1009</v>
      </c>
      <c r="R373" s="6" t="s">
        <v>1009</v>
      </c>
      <c r="U373" s="7">
        <v>70</v>
      </c>
    </row>
    <row r="374" spans="1:22" x14ac:dyDescent="0.3">
      <c r="A374" s="5">
        <v>897399</v>
      </c>
      <c r="B374" s="5" t="s">
        <v>1010</v>
      </c>
      <c r="G374" s="19" t="b">
        <f t="shared" si="5"/>
        <v>1</v>
      </c>
      <c r="H374" s="19" t="b">
        <f>AND(J374&lt;&gt;"", T374&gt;75)</f>
        <v>0</v>
      </c>
      <c r="J374" s="6"/>
      <c r="Q374" s="6" t="s">
        <v>1011</v>
      </c>
      <c r="R374" s="6" t="s">
        <v>1012</v>
      </c>
      <c r="U374" s="7">
        <v>95</v>
      </c>
    </row>
    <row r="375" spans="1:22" x14ac:dyDescent="0.3">
      <c r="A375" s="5">
        <v>897402</v>
      </c>
      <c r="B375" s="5" t="s">
        <v>1013</v>
      </c>
      <c r="G375" s="19" t="b">
        <f t="shared" si="5"/>
        <v>0</v>
      </c>
      <c r="H375" s="19" t="b">
        <f>AND(J375&lt;&gt;"", T375&gt;75)</f>
        <v>0</v>
      </c>
      <c r="J375" s="6"/>
    </row>
    <row r="376" spans="1:22" x14ac:dyDescent="0.3">
      <c r="A376" s="5">
        <v>897403</v>
      </c>
      <c r="B376" s="5" t="s">
        <v>1014</v>
      </c>
      <c r="G376" s="19" t="b">
        <f t="shared" si="5"/>
        <v>0</v>
      </c>
      <c r="H376" s="19" t="b">
        <f>AND(J376&lt;&gt;"", T376&gt;75)</f>
        <v>0</v>
      </c>
      <c r="J376" s="6"/>
    </row>
    <row r="377" spans="1:22" x14ac:dyDescent="0.3">
      <c r="A377" s="5">
        <v>897404</v>
      </c>
      <c r="B377" s="5" t="s">
        <v>1015</v>
      </c>
      <c r="G377" s="19" t="b">
        <f t="shared" si="5"/>
        <v>0</v>
      </c>
      <c r="H377" s="19" t="b">
        <f>AND(J377&lt;&gt;"", T377&gt;75)</f>
        <v>0</v>
      </c>
      <c r="J377" s="6"/>
    </row>
    <row r="378" spans="1:22" hidden="1" x14ac:dyDescent="0.3">
      <c r="A378" s="5">
        <v>897405</v>
      </c>
      <c r="B378" s="5" t="s">
        <v>1016</v>
      </c>
      <c r="C378" s="5" t="s">
        <v>1017</v>
      </c>
      <c r="D378" s="5" t="s">
        <v>250</v>
      </c>
      <c r="E378" s="5" t="s">
        <v>1018</v>
      </c>
      <c r="G378" s="19" t="b">
        <f t="shared" si="5"/>
        <v>0</v>
      </c>
      <c r="H378" s="19" t="b">
        <f>AND(J378&lt;&gt;"", T378&gt;75)</f>
        <v>1</v>
      </c>
      <c r="I378" s="6">
        <v>335696</v>
      </c>
      <c r="J378" s="11" t="s">
        <v>251</v>
      </c>
      <c r="K378" s="6" t="s">
        <v>112</v>
      </c>
      <c r="L378" s="13">
        <v>781011213305</v>
      </c>
      <c r="M378" s="6">
        <v>30101804</v>
      </c>
      <c r="N378" s="6" t="s">
        <v>89</v>
      </c>
      <c r="O378" s="6">
        <v>253277</v>
      </c>
      <c r="P378" s="6" t="s">
        <v>1019</v>
      </c>
      <c r="Q378" s="6" t="s">
        <v>42</v>
      </c>
      <c r="S378" s="8">
        <v>0.89597790129077803</v>
      </c>
      <c r="T378" s="7">
        <v>100</v>
      </c>
      <c r="U378" s="7">
        <v>100</v>
      </c>
      <c r="V378" s="7">
        <v>100</v>
      </c>
    </row>
    <row r="379" spans="1:22" x14ac:dyDescent="0.3">
      <c r="A379" s="5">
        <v>897406</v>
      </c>
      <c r="B379" s="5" t="s">
        <v>1020</v>
      </c>
      <c r="G379" s="19" t="b">
        <f t="shared" si="5"/>
        <v>0</v>
      </c>
      <c r="H379" s="19" t="b">
        <f>AND(J379&lt;&gt;"", T379&gt;75)</f>
        <v>0</v>
      </c>
      <c r="J379" s="6"/>
    </row>
    <row r="380" spans="1:22" x14ac:dyDescent="0.3">
      <c r="A380" s="5">
        <v>897407</v>
      </c>
      <c r="B380" s="5" t="s">
        <v>1021</v>
      </c>
      <c r="C380" s="5" t="s">
        <v>1017</v>
      </c>
      <c r="D380" s="5" t="s">
        <v>1022</v>
      </c>
      <c r="E380" s="5" t="s">
        <v>1023</v>
      </c>
      <c r="G380" s="19" t="b">
        <f t="shared" si="5"/>
        <v>0</v>
      </c>
      <c r="H380" s="19" t="b">
        <f>AND(J380&lt;&gt;"", T380&gt;75)</f>
        <v>0</v>
      </c>
      <c r="J380" s="6"/>
    </row>
    <row r="381" spans="1:22" hidden="1" x14ac:dyDescent="0.3">
      <c r="A381" s="5">
        <v>897408</v>
      </c>
      <c r="B381" s="5" t="s">
        <v>1024</v>
      </c>
      <c r="C381" s="5" t="s">
        <v>1025</v>
      </c>
      <c r="D381" s="5" t="s">
        <v>1026</v>
      </c>
      <c r="E381" s="5" t="s">
        <v>1027</v>
      </c>
      <c r="G381" s="19" t="b">
        <f t="shared" si="5"/>
        <v>0</v>
      </c>
      <c r="H381" s="19" t="b">
        <f>AND(J381&lt;&gt;"", T381&gt;75)</f>
        <v>0</v>
      </c>
      <c r="I381" s="6">
        <v>340252</v>
      </c>
      <c r="J381" s="6" t="s">
        <v>1028</v>
      </c>
      <c r="K381" s="6" t="s">
        <v>194</v>
      </c>
      <c r="L381" s="13">
        <v>785007262056</v>
      </c>
      <c r="M381" s="6">
        <v>39121406</v>
      </c>
      <c r="N381" s="6" t="s">
        <v>1029</v>
      </c>
      <c r="O381" s="6">
        <v>268361</v>
      </c>
      <c r="P381" s="6" t="s">
        <v>1030</v>
      </c>
      <c r="Q381" s="6" t="s">
        <v>194</v>
      </c>
      <c r="S381" s="8">
        <v>0.75337376847985804</v>
      </c>
      <c r="T381" s="8">
        <v>24.716464890267002</v>
      </c>
      <c r="U381" s="8">
        <v>25.039329242007099</v>
      </c>
      <c r="V381" s="7">
        <v>79.837376847985894</v>
      </c>
    </row>
    <row r="382" spans="1:22" hidden="1" x14ac:dyDescent="0.3">
      <c r="A382" s="5">
        <v>897409</v>
      </c>
      <c r="B382" s="5" t="s">
        <v>1031</v>
      </c>
      <c r="C382" s="5" t="s">
        <v>1017</v>
      </c>
      <c r="D382" s="5" t="s">
        <v>1032</v>
      </c>
      <c r="E382" s="5" t="s">
        <v>1033</v>
      </c>
      <c r="G382" s="19" t="b">
        <f t="shared" si="5"/>
        <v>0</v>
      </c>
      <c r="H382" s="19" t="b">
        <f>AND(J382&lt;&gt;"", T382&gt;75)</f>
        <v>1</v>
      </c>
      <c r="I382" s="6">
        <v>335842</v>
      </c>
      <c r="J382" s="11" t="s">
        <v>1034</v>
      </c>
      <c r="K382" s="6" t="s">
        <v>112</v>
      </c>
      <c r="L382" s="13">
        <v>781011500436</v>
      </c>
      <c r="M382" s="6">
        <v>30101504</v>
      </c>
      <c r="N382" s="6" t="s">
        <v>1033</v>
      </c>
      <c r="O382" s="6">
        <v>253241</v>
      </c>
      <c r="P382" s="6" t="s">
        <v>1035</v>
      </c>
      <c r="Q382" s="6" t="s">
        <v>42</v>
      </c>
      <c r="S382" s="8">
        <v>0.984330679480931</v>
      </c>
      <c r="T382" s="8">
        <v>91.716533974046499</v>
      </c>
      <c r="U382" s="8">
        <v>93.716533974046499</v>
      </c>
      <c r="V382" s="7">
        <v>100</v>
      </c>
    </row>
    <row r="383" spans="1:22" hidden="1" x14ac:dyDescent="0.3">
      <c r="A383" s="5">
        <v>897410</v>
      </c>
      <c r="B383" s="5" t="s">
        <v>1036</v>
      </c>
      <c r="C383" s="5" t="s">
        <v>1017</v>
      </c>
      <c r="D383" s="5" t="s">
        <v>250</v>
      </c>
      <c r="E383" s="5" t="s">
        <v>89</v>
      </c>
      <c r="G383" s="19" t="b">
        <f t="shared" si="5"/>
        <v>0</v>
      </c>
      <c r="H383" s="19" t="b">
        <f>AND(J383&lt;&gt;"", T383&gt;75)</f>
        <v>1</v>
      </c>
      <c r="I383" s="6">
        <v>335696</v>
      </c>
      <c r="J383" s="11" t="s">
        <v>251</v>
      </c>
      <c r="K383" s="6" t="s">
        <v>112</v>
      </c>
      <c r="L383" s="13">
        <v>781011213305</v>
      </c>
      <c r="M383" s="6">
        <v>30101804</v>
      </c>
      <c r="N383" s="6" t="s">
        <v>89</v>
      </c>
      <c r="O383" s="6">
        <v>253276</v>
      </c>
      <c r="P383" s="6" t="s">
        <v>1037</v>
      </c>
      <c r="Q383" s="6" t="s">
        <v>42</v>
      </c>
      <c r="S383" s="8">
        <v>0.88617273723162504</v>
      </c>
      <c r="T383" s="7">
        <v>100</v>
      </c>
      <c r="U383" s="7">
        <v>100</v>
      </c>
      <c r="V383" s="7">
        <v>100</v>
      </c>
    </row>
    <row r="384" spans="1:22" hidden="1" x14ac:dyDescent="0.3">
      <c r="A384" s="5">
        <v>897411</v>
      </c>
      <c r="B384" s="5" t="s">
        <v>1038</v>
      </c>
      <c r="C384" s="5" t="s">
        <v>1039</v>
      </c>
      <c r="D384" s="5" t="s">
        <v>1040</v>
      </c>
      <c r="E384" s="5" t="s">
        <v>1041</v>
      </c>
      <c r="G384" s="19" t="b">
        <f t="shared" si="5"/>
        <v>0</v>
      </c>
      <c r="H384" s="19" t="b">
        <f>AND(J384&lt;&gt;"", T384&gt;75)</f>
        <v>0</v>
      </c>
      <c r="I384" s="6">
        <v>330747</v>
      </c>
      <c r="J384" s="6" t="s">
        <v>1040</v>
      </c>
      <c r="K384" s="6" t="s">
        <v>1042</v>
      </c>
      <c r="L384" s="13">
        <v>784491606254</v>
      </c>
      <c r="M384" s="6">
        <v>27112820</v>
      </c>
      <c r="O384" s="6">
        <v>214122</v>
      </c>
      <c r="P384" s="6" t="s">
        <v>1043</v>
      </c>
      <c r="Q384" s="6" t="s">
        <v>1042</v>
      </c>
      <c r="S384" s="8">
        <v>0.52315317371316405</v>
      </c>
      <c r="T384" s="8">
        <v>68.657658685658205</v>
      </c>
      <c r="U384" s="8">
        <v>70.657658685658205</v>
      </c>
      <c r="V384" s="8">
        <v>26.6306347426329</v>
      </c>
    </row>
    <row r="385" spans="1:22" hidden="1" x14ac:dyDescent="0.3">
      <c r="A385" s="5">
        <v>897412</v>
      </c>
      <c r="B385" s="5" t="s">
        <v>1044</v>
      </c>
      <c r="C385" s="5" t="s">
        <v>1045</v>
      </c>
      <c r="D385" s="5" t="s">
        <v>1046</v>
      </c>
      <c r="E385" s="5" t="s">
        <v>1047</v>
      </c>
      <c r="G385" s="19" t="b">
        <f t="shared" si="5"/>
        <v>0</v>
      </c>
      <c r="H385" s="19" t="b">
        <f>AND(J385&lt;&gt;"", T385&gt;75)</f>
        <v>1</v>
      </c>
      <c r="I385" s="6">
        <v>337090</v>
      </c>
      <c r="J385" s="11" t="s">
        <v>1046</v>
      </c>
      <c r="K385" s="6" t="s">
        <v>303</v>
      </c>
      <c r="L385" s="13">
        <v>783510499990</v>
      </c>
      <c r="M385" s="6">
        <v>39121332</v>
      </c>
      <c r="N385" s="6" t="s">
        <v>1047</v>
      </c>
      <c r="O385" s="6">
        <v>259540</v>
      </c>
      <c r="P385" s="6" t="s">
        <v>1044</v>
      </c>
      <c r="Q385" s="6" t="s">
        <v>303</v>
      </c>
      <c r="S385" s="7">
        <v>0.99994837204600995</v>
      </c>
      <c r="T385" s="7">
        <v>100</v>
      </c>
      <c r="U385" s="7">
        <v>100</v>
      </c>
      <c r="V385" s="7">
        <v>100</v>
      </c>
    </row>
    <row r="386" spans="1:22" hidden="1" x14ac:dyDescent="0.3">
      <c r="A386" s="5">
        <v>897413</v>
      </c>
      <c r="B386" s="5" t="s">
        <v>1048</v>
      </c>
      <c r="C386" s="5" t="s">
        <v>1045</v>
      </c>
      <c r="D386" s="5" t="s">
        <v>1049</v>
      </c>
      <c r="E386" s="5" t="s">
        <v>1050</v>
      </c>
      <c r="G386" s="19" t="b">
        <f t="shared" si="5"/>
        <v>0</v>
      </c>
      <c r="H386" s="19" t="b">
        <f>AND(J386&lt;&gt;"", T386&gt;75)</f>
        <v>1</v>
      </c>
      <c r="I386" s="6">
        <v>101969</v>
      </c>
      <c r="J386" s="11" t="s">
        <v>1049</v>
      </c>
      <c r="K386" s="6" t="s">
        <v>303</v>
      </c>
      <c r="L386" s="13">
        <v>783510438104</v>
      </c>
      <c r="M386" s="6">
        <v>39121303</v>
      </c>
      <c r="O386" s="6">
        <v>1815</v>
      </c>
      <c r="P386" s="6" t="s">
        <v>1051</v>
      </c>
      <c r="Q386" s="6" t="s">
        <v>303</v>
      </c>
      <c r="S386" s="8">
        <v>0.90290561882690301</v>
      </c>
      <c r="T386" s="7">
        <v>100</v>
      </c>
      <c r="U386" s="7">
        <v>100</v>
      </c>
      <c r="V386" s="7">
        <v>100</v>
      </c>
    </row>
    <row r="387" spans="1:22" hidden="1" x14ac:dyDescent="0.3">
      <c r="A387" s="5">
        <v>897414</v>
      </c>
      <c r="B387" s="5" t="s">
        <v>1052</v>
      </c>
      <c r="C387" s="5" t="s">
        <v>1053</v>
      </c>
      <c r="D387" s="5" t="s">
        <v>1054</v>
      </c>
      <c r="E387" s="5" t="s">
        <v>1055</v>
      </c>
      <c r="G387" s="19" t="b">
        <f t="shared" ref="G387:G450" si="6">(R387&lt;&gt;"")</f>
        <v>0</v>
      </c>
      <c r="H387" s="19" t="b">
        <f>AND(J387&lt;&gt;"", T387&gt;75)</f>
        <v>0</v>
      </c>
      <c r="I387" s="6">
        <v>339534</v>
      </c>
      <c r="J387" s="6">
        <v>36241</v>
      </c>
      <c r="K387" s="6" t="s">
        <v>565</v>
      </c>
      <c r="L387" s="13">
        <v>783250362417</v>
      </c>
      <c r="M387" s="6">
        <v>27111701</v>
      </c>
      <c r="N387" s="6" t="s">
        <v>1055</v>
      </c>
      <c r="O387" s="6">
        <v>260678</v>
      </c>
      <c r="P387" s="6" t="s">
        <v>1056</v>
      </c>
      <c r="Q387" s="6" t="s">
        <v>565</v>
      </c>
      <c r="S387" s="7">
        <v>0.94271988709118004</v>
      </c>
      <c r="T387" s="8">
        <v>38.782185797921699</v>
      </c>
      <c r="U387" s="8">
        <v>36.565985191388201</v>
      </c>
      <c r="V387" s="7">
        <v>100</v>
      </c>
    </row>
    <row r="388" spans="1:22" x14ac:dyDescent="0.3">
      <c r="A388" s="5">
        <v>897415</v>
      </c>
      <c r="B388" s="5" t="s">
        <v>1057</v>
      </c>
      <c r="G388" s="19" t="b">
        <f t="shared" si="6"/>
        <v>0</v>
      </c>
      <c r="H388" s="19" t="b">
        <f>AND(J388&lt;&gt;"", T388&gt;75)</f>
        <v>0</v>
      </c>
      <c r="J388" s="6"/>
    </row>
    <row r="389" spans="1:22" hidden="1" x14ac:dyDescent="0.3">
      <c r="A389" s="5">
        <v>897416</v>
      </c>
      <c r="B389" s="5" t="s">
        <v>1058</v>
      </c>
      <c r="C389" s="5" t="s">
        <v>1059</v>
      </c>
      <c r="G389" s="19" t="b">
        <f t="shared" si="6"/>
        <v>0</v>
      </c>
      <c r="H389" s="19" t="b">
        <f>AND(J389&lt;&gt;"", T389&gt;75)</f>
        <v>1</v>
      </c>
      <c r="I389" s="6">
        <v>336654</v>
      </c>
      <c r="J389" s="11" t="s">
        <v>1060</v>
      </c>
      <c r="K389" s="6" t="s">
        <v>194</v>
      </c>
      <c r="L389" s="13">
        <v>785007044546</v>
      </c>
      <c r="M389" s="6">
        <v>39121400</v>
      </c>
      <c r="N389" s="6" t="s">
        <v>1061</v>
      </c>
      <c r="O389" s="6">
        <v>265960</v>
      </c>
      <c r="P389" s="6" t="s">
        <v>1062</v>
      </c>
      <c r="Q389" s="6" t="s">
        <v>194</v>
      </c>
      <c r="S389" s="8">
        <v>0.77961512697513202</v>
      </c>
      <c r="T389" s="8">
        <v>96.4807563487566</v>
      </c>
      <c r="U389" s="8">
        <v>92.4807563487566</v>
      </c>
      <c r="V389" s="8">
        <v>86.9230253950264</v>
      </c>
    </row>
    <row r="390" spans="1:22" x14ac:dyDescent="0.3">
      <c r="A390" s="5">
        <v>897417</v>
      </c>
      <c r="B390" s="5" t="s">
        <v>1063</v>
      </c>
      <c r="C390" s="5" t="s">
        <v>1059</v>
      </c>
      <c r="G390" s="19" t="b">
        <f t="shared" si="6"/>
        <v>0</v>
      </c>
      <c r="H390" s="19" t="b">
        <f>AND(J390&lt;&gt;"", T390&gt;75)</f>
        <v>0</v>
      </c>
      <c r="J390" s="6"/>
    </row>
    <row r="391" spans="1:22" x14ac:dyDescent="0.3">
      <c r="A391" s="5">
        <v>897418</v>
      </c>
      <c r="B391" s="5" t="s">
        <v>1064</v>
      </c>
      <c r="C391" s="5" t="s">
        <v>1065</v>
      </c>
      <c r="D391" s="5">
        <v>451</v>
      </c>
      <c r="E391" s="5" t="s">
        <v>268</v>
      </c>
      <c r="G391" s="19" t="b">
        <f t="shared" si="6"/>
        <v>1</v>
      </c>
      <c r="H391" s="19" t="b">
        <f>AND(J391&lt;&gt;"", T391&gt;75)</f>
        <v>0</v>
      </c>
      <c r="J391" s="6"/>
      <c r="Q391" s="6" t="s">
        <v>39</v>
      </c>
      <c r="R391" s="6" t="s">
        <v>36</v>
      </c>
      <c r="U391" s="7">
        <v>60</v>
      </c>
    </row>
    <row r="392" spans="1:22" hidden="1" x14ac:dyDescent="0.3">
      <c r="A392" s="5">
        <v>897419</v>
      </c>
      <c r="B392" s="5" t="s">
        <v>1066</v>
      </c>
      <c r="C392" s="5" t="s">
        <v>1067</v>
      </c>
      <c r="D392" s="5" t="s">
        <v>1068</v>
      </c>
      <c r="E392" s="5" t="s">
        <v>1069</v>
      </c>
      <c r="G392" s="19" t="b">
        <f t="shared" si="6"/>
        <v>0</v>
      </c>
      <c r="H392" s="19" t="b">
        <f>AND(J392&lt;&gt;"", T392&gt;75)</f>
        <v>1</v>
      </c>
      <c r="I392" s="6">
        <v>335721</v>
      </c>
      <c r="J392" s="11" t="s">
        <v>1068</v>
      </c>
      <c r="K392" s="6" t="s">
        <v>281</v>
      </c>
      <c r="L392" s="13">
        <v>781002177753</v>
      </c>
      <c r="M392" s="6">
        <v>31161528</v>
      </c>
      <c r="N392" s="6" t="s">
        <v>1069</v>
      </c>
      <c r="O392" s="6">
        <v>258081</v>
      </c>
      <c r="P392" s="6" t="s">
        <v>1070</v>
      </c>
      <c r="Q392" s="6" t="s">
        <v>281</v>
      </c>
      <c r="S392" s="8">
        <v>0.935236087575676</v>
      </c>
      <c r="T392" s="8">
        <v>99.261804378783793</v>
      </c>
      <c r="U392" s="8">
        <v>97.261804378783793</v>
      </c>
      <c r="V392" s="7">
        <v>100</v>
      </c>
    </row>
    <row r="393" spans="1:22" x14ac:dyDescent="0.3">
      <c r="A393" s="5">
        <v>897420</v>
      </c>
      <c r="B393" s="5" t="s">
        <v>1071</v>
      </c>
      <c r="C393" s="5" t="s">
        <v>1072</v>
      </c>
      <c r="D393" s="5" t="s">
        <v>1073</v>
      </c>
      <c r="E393" s="5" t="s">
        <v>1074</v>
      </c>
      <c r="G393" s="19" t="b">
        <f t="shared" si="6"/>
        <v>0</v>
      </c>
      <c r="H393" s="19" t="b">
        <f>AND(J393&lt;&gt;"", T393&gt;75)</f>
        <v>0</v>
      </c>
      <c r="J393" s="6"/>
    </row>
    <row r="394" spans="1:22" x14ac:dyDescent="0.3">
      <c r="A394" s="5">
        <v>897421</v>
      </c>
      <c r="B394" s="5" t="s">
        <v>1075</v>
      </c>
      <c r="C394" s="5" t="s">
        <v>1076</v>
      </c>
      <c r="D394" s="5" t="s">
        <v>1077</v>
      </c>
      <c r="E394" s="5" t="s">
        <v>1078</v>
      </c>
      <c r="G394" s="19" t="b">
        <f t="shared" si="6"/>
        <v>0</v>
      </c>
      <c r="H394" s="19" t="b">
        <f>AND(J394&lt;&gt;"", T394&gt;75)</f>
        <v>0</v>
      </c>
      <c r="J394" s="6"/>
    </row>
    <row r="395" spans="1:22" hidden="1" x14ac:dyDescent="0.3">
      <c r="A395" s="5">
        <v>897422</v>
      </c>
      <c r="B395" s="5" t="s">
        <v>1079</v>
      </c>
      <c r="C395" s="5" t="s">
        <v>1080</v>
      </c>
      <c r="D395" s="5" t="s">
        <v>1081</v>
      </c>
      <c r="E395" s="5" t="s">
        <v>1082</v>
      </c>
      <c r="G395" s="19" t="b">
        <f t="shared" si="6"/>
        <v>0</v>
      </c>
      <c r="H395" s="19" t="b">
        <f>AND(J395&lt;&gt;"", T395&gt;75)</f>
        <v>1</v>
      </c>
      <c r="I395" s="6">
        <v>335822</v>
      </c>
      <c r="J395" s="11" t="s">
        <v>1081</v>
      </c>
      <c r="K395" s="6" t="s">
        <v>379</v>
      </c>
      <c r="L395" s="14" t="s">
        <v>1083</v>
      </c>
      <c r="M395" s="6">
        <v>39121438</v>
      </c>
      <c r="N395" s="6" t="s">
        <v>1082</v>
      </c>
      <c r="O395" s="6">
        <v>252635</v>
      </c>
      <c r="P395" s="6" t="s">
        <v>1084</v>
      </c>
      <c r="Q395" s="6" t="s">
        <v>379</v>
      </c>
      <c r="S395" s="8">
        <v>0.95113925169228697</v>
      </c>
      <c r="T395" s="8">
        <v>90.056962584614297</v>
      </c>
      <c r="U395" s="8">
        <v>92.056962584614297</v>
      </c>
      <c r="V395" s="7">
        <v>100</v>
      </c>
    </row>
    <row r="396" spans="1:22" hidden="1" x14ac:dyDescent="0.3">
      <c r="A396" s="5">
        <v>897423</v>
      </c>
      <c r="B396" s="5" t="s">
        <v>1085</v>
      </c>
      <c r="C396" s="5" t="s">
        <v>1080</v>
      </c>
      <c r="D396" s="5" t="s">
        <v>1086</v>
      </c>
      <c r="E396" s="5" t="s">
        <v>1087</v>
      </c>
      <c r="G396" s="19" t="b">
        <f t="shared" si="6"/>
        <v>0</v>
      </c>
      <c r="H396" s="19" t="b">
        <f>AND(J396&lt;&gt;"", T396&gt;75)</f>
        <v>1</v>
      </c>
      <c r="I396" s="6">
        <v>335823</v>
      </c>
      <c r="J396" s="11" t="s">
        <v>1086</v>
      </c>
      <c r="K396" s="6" t="s">
        <v>379</v>
      </c>
      <c r="L396" s="14" t="s">
        <v>1088</v>
      </c>
      <c r="M396" s="6">
        <v>39121400</v>
      </c>
      <c r="N396" s="6" t="s">
        <v>1087</v>
      </c>
      <c r="O396" s="6">
        <v>252636</v>
      </c>
      <c r="P396" s="6" t="s">
        <v>1089</v>
      </c>
      <c r="Q396" s="6" t="s">
        <v>379</v>
      </c>
      <c r="S396" s="8">
        <v>0.94723632467659702</v>
      </c>
      <c r="T396" s="8">
        <v>99.861816233829799</v>
      </c>
      <c r="U396" s="8">
        <v>97.861816233829799</v>
      </c>
      <c r="V396" s="7">
        <v>100</v>
      </c>
    </row>
    <row r="397" spans="1:22" x14ac:dyDescent="0.3">
      <c r="A397" s="5">
        <v>897424</v>
      </c>
      <c r="B397" s="5" t="s">
        <v>1090</v>
      </c>
      <c r="C397" s="5" t="s">
        <v>36</v>
      </c>
      <c r="D397" s="5" t="s">
        <v>1091</v>
      </c>
      <c r="G397" s="19" t="b">
        <f t="shared" si="6"/>
        <v>1</v>
      </c>
      <c r="H397" s="19" t="b">
        <f>AND(J397&lt;&gt;"", T397&gt;75)</f>
        <v>0</v>
      </c>
      <c r="J397" s="6"/>
      <c r="Q397" s="6" t="s">
        <v>39</v>
      </c>
      <c r="R397" s="6" t="s">
        <v>36</v>
      </c>
      <c r="U397" s="7">
        <v>60</v>
      </c>
    </row>
    <row r="398" spans="1:22" x14ac:dyDescent="0.3">
      <c r="A398" s="5">
        <v>897425</v>
      </c>
      <c r="B398" s="5" t="s">
        <v>1092</v>
      </c>
      <c r="G398" s="19" t="b">
        <f t="shared" si="6"/>
        <v>0</v>
      </c>
      <c r="H398" s="19" t="b">
        <f>AND(J398&lt;&gt;"", T398&gt;75)</f>
        <v>0</v>
      </c>
      <c r="J398" s="6"/>
    </row>
    <row r="399" spans="1:22" x14ac:dyDescent="0.3">
      <c r="A399" s="5">
        <v>897426</v>
      </c>
      <c r="B399" s="5" t="s">
        <v>1093</v>
      </c>
      <c r="C399" s="5" t="s">
        <v>1094</v>
      </c>
      <c r="D399" s="5" t="s">
        <v>1095</v>
      </c>
      <c r="E399" s="5" t="s">
        <v>1096</v>
      </c>
      <c r="G399" s="19" t="b">
        <f t="shared" si="6"/>
        <v>0</v>
      </c>
      <c r="H399" s="19" t="b">
        <f>AND(J399&lt;&gt;"", T399&gt;75)</f>
        <v>0</v>
      </c>
      <c r="J399" s="6"/>
      <c r="U399" s="7">
        <v>0</v>
      </c>
    </row>
    <row r="400" spans="1:22" hidden="1" x14ac:dyDescent="0.3">
      <c r="A400" s="5">
        <v>897427</v>
      </c>
      <c r="B400" s="5" t="s">
        <v>1097</v>
      </c>
      <c r="C400" s="5" t="s">
        <v>1098</v>
      </c>
      <c r="D400" s="5" t="s">
        <v>1099</v>
      </c>
      <c r="G400" s="19" t="b">
        <f t="shared" si="6"/>
        <v>0</v>
      </c>
      <c r="H400" s="19" t="b">
        <f>AND(J400&lt;&gt;"", T400&gt;75)</f>
        <v>1</v>
      </c>
      <c r="I400" s="6">
        <v>230354</v>
      </c>
      <c r="J400" s="11">
        <v>49251259</v>
      </c>
      <c r="K400" s="6" t="s">
        <v>134</v>
      </c>
      <c r="L400" s="14" t="s">
        <v>1100</v>
      </c>
      <c r="M400" s="6">
        <v>27112800</v>
      </c>
      <c r="O400" s="6">
        <v>184455</v>
      </c>
      <c r="P400" s="6" t="s">
        <v>1101</v>
      </c>
      <c r="Q400" s="6" t="s">
        <v>134</v>
      </c>
      <c r="S400" s="8">
        <v>0.60779602890255302</v>
      </c>
      <c r="T400" s="8">
        <v>77.889801445127603</v>
      </c>
      <c r="U400" s="8">
        <v>77.889801445127603</v>
      </c>
      <c r="V400" s="8">
        <v>46.559205780510602</v>
      </c>
    </row>
    <row r="401" spans="1:22" hidden="1" x14ac:dyDescent="0.3">
      <c r="A401" s="5">
        <v>897428</v>
      </c>
      <c r="B401" s="5" t="s">
        <v>1102</v>
      </c>
      <c r="C401" s="5" t="s">
        <v>1098</v>
      </c>
      <c r="D401" s="5" t="s">
        <v>1103</v>
      </c>
      <c r="G401" s="19" t="b">
        <f t="shared" si="6"/>
        <v>0</v>
      </c>
      <c r="H401" s="19" t="b">
        <f>AND(J401&lt;&gt;"", T401&gt;75)</f>
        <v>1</v>
      </c>
      <c r="I401" s="6">
        <v>230318</v>
      </c>
      <c r="J401" s="11">
        <v>49251269</v>
      </c>
      <c r="K401" s="6" t="s">
        <v>134</v>
      </c>
      <c r="L401" s="14" t="s">
        <v>1104</v>
      </c>
      <c r="M401" s="6">
        <v>27112800</v>
      </c>
      <c r="O401" s="6">
        <v>183722</v>
      </c>
      <c r="P401" s="6" t="s">
        <v>1105</v>
      </c>
      <c r="Q401" s="6" t="s">
        <v>134</v>
      </c>
      <c r="S401" s="8">
        <v>0.60504340079031904</v>
      </c>
      <c r="T401" s="8">
        <v>77.752170039515903</v>
      </c>
      <c r="U401" s="8">
        <v>77.752170039515903</v>
      </c>
      <c r="V401" s="8">
        <v>46.008680158063903</v>
      </c>
    </row>
    <row r="402" spans="1:22" hidden="1" x14ac:dyDescent="0.3">
      <c r="A402" s="5">
        <v>897429</v>
      </c>
      <c r="B402" s="5" t="s">
        <v>1106</v>
      </c>
      <c r="C402" s="5" t="s">
        <v>1045</v>
      </c>
      <c r="D402" s="5" t="s">
        <v>1107</v>
      </c>
      <c r="E402" s="5" t="s">
        <v>1108</v>
      </c>
      <c r="G402" s="19" t="b">
        <f t="shared" si="6"/>
        <v>0</v>
      </c>
      <c r="H402" s="19" t="b">
        <f>AND(J402&lt;&gt;"", T402&gt;75)</f>
        <v>1</v>
      </c>
      <c r="I402" s="6">
        <v>339090</v>
      </c>
      <c r="J402" s="11" t="s">
        <v>1107</v>
      </c>
      <c r="K402" s="6" t="s">
        <v>303</v>
      </c>
      <c r="L402" s="13">
        <v>783510424602</v>
      </c>
      <c r="M402" s="6">
        <v>39121303</v>
      </c>
      <c r="N402" s="6" t="s">
        <v>1108</v>
      </c>
      <c r="O402" s="6">
        <v>259578</v>
      </c>
      <c r="P402" s="6" t="s">
        <v>1109</v>
      </c>
      <c r="Q402" s="6" t="s">
        <v>303</v>
      </c>
      <c r="S402" s="8">
        <v>0.99080887921281402</v>
      </c>
      <c r="T402" s="7">
        <v>100</v>
      </c>
      <c r="U402" s="7">
        <v>100</v>
      </c>
      <c r="V402" s="7">
        <v>100</v>
      </c>
    </row>
    <row r="403" spans="1:22" hidden="1" x14ac:dyDescent="0.3">
      <c r="A403" s="5">
        <v>897430</v>
      </c>
      <c r="B403" s="5" t="s">
        <v>1110</v>
      </c>
      <c r="C403" s="5" t="s">
        <v>1045</v>
      </c>
      <c r="D403" s="5" t="s">
        <v>1111</v>
      </c>
      <c r="E403" s="5" t="s">
        <v>1112</v>
      </c>
      <c r="G403" s="19" t="b">
        <f t="shared" si="6"/>
        <v>0</v>
      </c>
      <c r="H403" s="19" t="b">
        <f>AND(J403&lt;&gt;"", T403&gt;75)</f>
        <v>1</v>
      </c>
      <c r="I403" s="6">
        <v>337096</v>
      </c>
      <c r="J403" s="11" t="s">
        <v>1111</v>
      </c>
      <c r="K403" s="6" t="s">
        <v>303</v>
      </c>
      <c r="L403" s="13">
        <v>783510425104</v>
      </c>
      <c r="M403" s="6">
        <v>39121303</v>
      </c>
      <c r="N403" s="6" t="s">
        <v>1112</v>
      </c>
      <c r="O403" s="6">
        <v>259556</v>
      </c>
      <c r="P403" s="6" t="s">
        <v>1113</v>
      </c>
      <c r="Q403" s="6" t="s">
        <v>303</v>
      </c>
      <c r="S403" s="8">
        <v>0.97751213411313898</v>
      </c>
      <c r="T403" s="7">
        <v>100</v>
      </c>
      <c r="U403" s="7">
        <v>100</v>
      </c>
      <c r="V403" s="7">
        <v>100</v>
      </c>
    </row>
    <row r="404" spans="1:22" hidden="1" x14ac:dyDescent="0.3">
      <c r="A404" s="5">
        <v>897431</v>
      </c>
      <c r="B404" s="5" t="s">
        <v>1114</v>
      </c>
      <c r="C404" s="5" t="s">
        <v>1045</v>
      </c>
      <c r="D404" s="5" t="s">
        <v>1115</v>
      </c>
      <c r="E404" s="5" t="s">
        <v>1116</v>
      </c>
      <c r="G404" s="19" t="b">
        <f t="shared" si="6"/>
        <v>0</v>
      </c>
      <c r="H404" s="19" t="b">
        <f>AND(J404&lt;&gt;"", T404&gt;75)</f>
        <v>1</v>
      </c>
      <c r="I404" s="6">
        <v>96723</v>
      </c>
      <c r="J404" s="11" t="s">
        <v>1115</v>
      </c>
      <c r="K404" s="6" t="s">
        <v>303</v>
      </c>
      <c r="L404" s="13">
        <v>783510113087</v>
      </c>
      <c r="M404" s="6">
        <v>39131714</v>
      </c>
      <c r="O404" s="6">
        <v>157049</v>
      </c>
      <c r="P404" s="6" t="s">
        <v>1117</v>
      </c>
      <c r="Q404" s="6" t="s">
        <v>303</v>
      </c>
      <c r="S404" s="8">
        <v>0.74444777304017495</v>
      </c>
      <c r="T404" s="8">
        <v>99.722388652008704</v>
      </c>
      <c r="U404" s="8">
        <v>93.722388652008704</v>
      </c>
      <c r="V404" s="8">
        <v>82.889554608034999</v>
      </c>
    </row>
    <row r="405" spans="1:22" x14ac:dyDescent="0.3">
      <c r="A405" s="5">
        <v>897432</v>
      </c>
      <c r="B405" s="5" t="s">
        <v>1118</v>
      </c>
      <c r="C405" s="5" t="s">
        <v>1119</v>
      </c>
      <c r="D405" s="5" t="s">
        <v>616</v>
      </c>
      <c r="G405" s="19" t="b">
        <f t="shared" si="6"/>
        <v>1</v>
      </c>
      <c r="H405" s="19" t="b">
        <f>AND(J405&lt;&gt;"", T405&gt;75)</f>
        <v>0</v>
      </c>
      <c r="J405" s="6"/>
      <c r="Q405" s="6" t="s">
        <v>618</v>
      </c>
      <c r="R405" s="6" t="s">
        <v>1119</v>
      </c>
      <c r="U405" s="7">
        <v>60</v>
      </c>
    </row>
    <row r="406" spans="1:22" x14ac:dyDescent="0.3">
      <c r="A406" s="5">
        <v>897433</v>
      </c>
      <c r="B406" s="5" t="s">
        <v>1120</v>
      </c>
      <c r="C406" s="5" t="s">
        <v>1119</v>
      </c>
      <c r="D406" s="5" t="s">
        <v>1121</v>
      </c>
      <c r="E406" s="5" t="s">
        <v>1122</v>
      </c>
      <c r="G406" s="19" t="b">
        <f t="shared" si="6"/>
        <v>1</v>
      </c>
      <c r="H406" s="19" t="b">
        <f>AND(J406&lt;&gt;"", T406&gt;75)</f>
        <v>0</v>
      </c>
      <c r="J406" s="6"/>
      <c r="Q406" s="6" t="s">
        <v>618</v>
      </c>
      <c r="R406" s="6" t="s">
        <v>1119</v>
      </c>
      <c r="U406" s="7">
        <v>60</v>
      </c>
    </row>
    <row r="407" spans="1:22" hidden="1" x14ac:dyDescent="0.3">
      <c r="A407" s="5">
        <v>897434</v>
      </c>
      <c r="B407" s="5" t="s">
        <v>1123</v>
      </c>
      <c r="C407" s="5" t="s">
        <v>1025</v>
      </c>
      <c r="D407" s="5" t="s">
        <v>1124</v>
      </c>
      <c r="E407" s="5" t="s">
        <v>1125</v>
      </c>
      <c r="G407" s="19" t="b">
        <f t="shared" si="6"/>
        <v>0</v>
      </c>
      <c r="H407" s="19" t="b">
        <f>AND(J407&lt;&gt;"", T407&gt;75)</f>
        <v>0</v>
      </c>
      <c r="I407" s="6">
        <v>341007</v>
      </c>
      <c r="J407" s="6" t="s">
        <v>1126</v>
      </c>
      <c r="K407" s="6" t="s">
        <v>194</v>
      </c>
      <c r="L407" s="13">
        <v>785007143058</v>
      </c>
      <c r="M407" s="6">
        <v>39121406</v>
      </c>
      <c r="N407" s="6" t="s">
        <v>1127</v>
      </c>
      <c r="O407" s="6">
        <v>265259</v>
      </c>
      <c r="P407" s="6" t="s">
        <v>1128</v>
      </c>
      <c r="Q407" s="6" t="s">
        <v>194</v>
      </c>
      <c r="S407" s="8">
        <v>0.74744472077858504</v>
      </c>
      <c r="T407" s="8">
        <v>69.872236038929202</v>
      </c>
      <c r="U407" s="8">
        <v>41.872236038929202</v>
      </c>
      <c r="V407" s="8">
        <v>61.4889441557171</v>
      </c>
    </row>
    <row r="408" spans="1:22" x14ac:dyDescent="0.3">
      <c r="A408" s="5">
        <v>897435</v>
      </c>
      <c r="B408" s="5" t="s">
        <v>1129</v>
      </c>
      <c r="C408" s="5" t="s">
        <v>1130</v>
      </c>
      <c r="D408" s="5" t="s">
        <v>1131</v>
      </c>
      <c r="E408" s="5" t="s">
        <v>1132</v>
      </c>
      <c r="G408" s="19" t="b">
        <f t="shared" si="6"/>
        <v>0</v>
      </c>
      <c r="H408" s="19" t="b">
        <f>AND(J408&lt;&gt;"", T408&gt;75)</f>
        <v>0</v>
      </c>
      <c r="J408" s="6"/>
    </row>
    <row r="409" spans="1:22" hidden="1" x14ac:dyDescent="0.3">
      <c r="A409" s="5">
        <v>897436</v>
      </c>
      <c r="B409" s="5" t="s">
        <v>1133</v>
      </c>
      <c r="C409" s="5" t="s">
        <v>1134</v>
      </c>
      <c r="D409" s="5" t="s">
        <v>176</v>
      </c>
      <c r="E409" s="5" t="s">
        <v>177</v>
      </c>
      <c r="G409" s="19" t="b">
        <f t="shared" si="6"/>
        <v>0</v>
      </c>
      <c r="H409" s="19" t="b">
        <f>AND(J409&lt;&gt;"", T409&gt;75)</f>
        <v>0</v>
      </c>
      <c r="I409" s="6">
        <v>336422</v>
      </c>
      <c r="J409" s="6">
        <v>645001</v>
      </c>
      <c r="K409" s="6" t="s">
        <v>65</v>
      </c>
      <c r="L409" s="13">
        <v>783310057611</v>
      </c>
      <c r="M409" s="6">
        <v>27112800</v>
      </c>
      <c r="N409" s="6" t="s">
        <v>177</v>
      </c>
      <c r="O409" s="6">
        <v>258964</v>
      </c>
      <c r="P409" s="6" t="s">
        <v>1135</v>
      </c>
      <c r="Q409" s="6" t="s">
        <v>65</v>
      </c>
      <c r="S409" s="8">
        <v>0.90804772939492095</v>
      </c>
      <c r="T409" s="8">
        <v>72.902386469746006</v>
      </c>
      <c r="U409" s="8">
        <v>46.902386469745998</v>
      </c>
      <c r="V409" s="8">
        <v>90.609545878984207</v>
      </c>
    </row>
    <row r="410" spans="1:22" hidden="1" x14ac:dyDescent="0.3">
      <c r="A410" s="5">
        <v>897437</v>
      </c>
      <c r="B410" s="5" t="s">
        <v>1136</v>
      </c>
      <c r="C410" s="5" t="s">
        <v>1134</v>
      </c>
      <c r="D410" s="5" t="s">
        <v>1137</v>
      </c>
      <c r="E410" s="5" t="s">
        <v>1138</v>
      </c>
      <c r="G410" s="19" t="b">
        <f t="shared" si="6"/>
        <v>0</v>
      </c>
      <c r="H410" s="19" t="b">
        <f>AND(J410&lt;&gt;"", T410&gt;75)</f>
        <v>0</v>
      </c>
      <c r="I410" s="6">
        <v>338858</v>
      </c>
      <c r="J410" s="6">
        <v>64578</v>
      </c>
      <c r="K410" s="6" t="s">
        <v>65</v>
      </c>
      <c r="L410" s="13">
        <v>783310056959</v>
      </c>
      <c r="M410" s="6">
        <v>23241638</v>
      </c>
      <c r="N410" s="6" t="s">
        <v>1138</v>
      </c>
      <c r="O410" s="6">
        <v>258967</v>
      </c>
      <c r="P410" s="6" t="s">
        <v>1139</v>
      </c>
      <c r="Q410" s="6" t="s">
        <v>65</v>
      </c>
      <c r="S410" s="7">
        <v>0.92085590544708396</v>
      </c>
      <c r="T410" s="8">
        <v>34.933084276692398</v>
      </c>
      <c r="U410" s="8">
        <v>32.529106402784898</v>
      </c>
      <c r="V410" s="8">
        <v>91.905989495580499</v>
      </c>
    </row>
    <row r="411" spans="1:22" x14ac:dyDescent="0.3">
      <c r="A411" s="5">
        <v>897438</v>
      </c>
      <c r="B411" s="5" t="s">
        <v>1140</v>
      </c>
      <c r="C411" s="5" t="s">
        <v>1141</v>
      </c>
      <c r="D411" s="5" t="s">
        <v>1142</v>
      </c>
      <c r="G411" s="19" t="b">
        <f t="shared" si="6"/>
        <v>0</v>
      </c>
      <c r="H411" s="19" t="b">
        <f>AND(J411&lt;&gt;"", T411&gt;75)</f>
        <v>0</v>
      </c>
      <c r="J411" s="6"/>
    </row>
    <row r="412" spans="1:22" hidden="1" x14ac:dyDescent="0.3">
      <c r="A412" s="5">
        <v>897439</v>
      </c>
      <c r="B412" s="5" t="s">
        <v>1143</v>
      </c>
      <c r="C412" s="5" t="s">
        <v>1067</v>
      </c>
      <c r="D412" s="5" t="s">
        <v>1144</v>
      </c>
      <c r="E412" s="5" t="s">
        <v>1145</v>
      </c>
      <c r="G412" s="19" t="b">
        <f t="shared" si="6"/>
        <v>0</v>
      </c>
      <c r="H412" s="19" t="b">
        <f>AND(J412&lt;&gt;"", T412&gt;75)</f>
        <v>1</v>
      </c>
      <c r="I412" s="6">
        <v>338498</v>
      </c>
      <c r="J412" s="11" t="s">
        <v>1144</v>
      </c>
      <c r="K412" s="6" t="s">
        <v>281</v>
      </c>
      <c r="L412" s="13">
        <v>781002175629</v>
      </c>
      <c r="M412" s="6">
        <v>31161528</v>
      </c>
      <c r="N412" s="6" t="s">
        <v>1145</v>
      </c>
      <c r="O412" s="6">
        <v>258073</v>
      </c>
      <c r="P412" s="6" t="s">
        <v>1143</v>
      </c>
      <c r="Q412" s="6" t="s">
        <v>281</v>
      </c>
      <c r="S412" s="8">
        <v>0.99998762931130902</v>
      </c>
      <c r="T412" s="7">
        <v>100</v>
      </c>
      <c r="U412" s="7">
        <v>100</v>
      </c>
      <c r="V412" s="7">
        <v>100</v>
      </c>
    </row>
    <row r="413" spans="1:22" x14ac:dyDescent="0.3">
      <c r="A413" s="5">
        <v>897440</v>
      </c>
      <c r="B413" s="5" t="s">
        <v>1146</v>
      </c>
      <c r="C413" s="5" t="s">
        <v>1147</v>
      </c>
      <c r="D413" s="5" t="s">
        <v>1148</v>
      </c>
      <c r="E413" s="5" t="s">
        <v>1149</v>
      </c>
      <c r="G413" s="19" t="b">
        <f t="shared" si="6"/>
        <v>0</v>
      </c>
      <c r="H413" s="19" t="b">
        <f>AND(J413&lt;&gt;"", T413&gt;75)</f>
        <v>0</v>
      </c>
      <c r="J413" s="6"/>
    </row>
    <row r="414" spans="1:22" x14ac:dyDescent="0.3">
      <c r="A414" s="5">
        <v>897441</v>
      </c>
      <c r="B414" s="5" t="s">
        <v>1150</v>
      </c>
      <c r="C414" s="5" t="s">
        <v>1151</v>
      </c>
      <c r="D414" s="5" t="s">
        <v>1152</v>
      </c>
      <c r="E414" s="5" t="s">
        <v>1153</v>
      </c>
      <c r="G414" s="19" t="b">
        <f t="shared" si="6"/>
        <v>0</v>
      </c>
      <c r="H414" s="19" t="b">
        <f>AND(J414&lt;&gt;"", T414&gt;75)</f>
        <v>0</v>
      </c>
      <c r="J414" s="6"/>
    </row>
    <row r="415" spans="1:22" x14ac:dyDescent="0.3">
      <c r="A415" s="5">
        <v>897442</v>
      </c>
      <c r="B415" s="5" t="s">
        <v>1154</v>
      </c>
      <c r="C415" s="5" t="s">
        <v>1155</v>
      </c>
      <c r="D415" s="5" t="s">
        <v>1156</v>
      </c>
      <c r="E415" s="5" t="s">
        <v>1157</v>
      </c>
      <c r="G415" s="19" t="b">
        <f t="shared" si="6"/>
        <v>0</v>
      </c>
      <c r="H415" s="19" t="b">
        <f>AND(J415&lt;&gt;"", T415&gt;75)</f>
        <v>0</v>
      </c>
      <c r="J415" s="6"/>
    </row>
    <row r="416" spans="1:22" hidden="1" x14ac:dyDescent="0.3">
      <c r="A416" s="5">
        <v>897446</v>
      </c>
      <c r="B416" s="5" t="s">
        <v>1158</v>
      </c>
      <c r="C416" s="5" t="s">
        <v>1094</v>
      </c>
      <c r="D416" s="5" t="s">
        <v>1159</v>
      </c>
      <c r="E416" s="5" t="s">
        <v>1160</v>
      </c>
      <c r="G416" s="19" t="b">
        <f t="shared" si="6"/>
        <v>1</v>
      </c>
      <c r="H416" s="19" t="b">
        <f>AND(J416&lt;&gt;"", T416&gt;75)</f>
        <v>1</v>
      </c>
      <c r="I416" s="6">
        <v>340628</v>
      </c>
      <c r="J416" s="11" t="s">
        <v>1161</v>
      </c>
      <c r="K416" s="6" t="s">
        <v>115</v>
      </c>
      <c r="L416" s="14" t="s">
        <v>1162</v>
      </c>
      <c r="M416" s="6">
        <v>39121400</v>
      </c>
      <c r="N416" s="6" t="s">
        <v>1160</v>
      </c>
      <c r="O416" s="6">
        <v>264294</v>
      </c>
      <c r="P416" s="6" t="s">
        <v>1163</v>
      </c>
      <c r="Q416" s="6" t="s">
        <v>115</v>
      </c>
      <c r="R416" s="6" t="s">
        <v>1094</v>
      </c>
      <c r="S416" s="7">
        <v>0.97113548925795201</v>
      </c>
      <c r="T416" s="7">
        <v>100</v>
      </c>
      <c r="U416" s="7">
        <v>100</v>
      </c>
      <c r="V416" s="7">
        <v>100</v>
      </c>
    </row>
    <row r="417" spans="1:22" hidden="1" x14ac:dyDescent="0.3">
      <c r="A417" s="5">
        <v>897447</v>
      </c>
      <c r="B417" s="5" t="s">
        <v>1164</v>
      </c>
      <c r="C417" s="5" t="s">
        <v>1165</v>
      </c>
      <c r="D417" s="5" t="s">
        <v>1166</v>
      </c>
      <c r="E417" s="5" t="s">
        <v>1167</v>
      </c>
      <c r="G417" s="19" t="b">
        <f t="shared" si="6"/>
        <v>0</v>
      </c>
      <c r="H417" s="19" t="b">
        <f>AND(J417&lt;&gt;"", T417&gt;75)</f>
        <v>0</v>
      </c>
      <c r="I417" s="6">
        <v>276946</v>
      </c>
      <c r="J417" s="6">
        <v>3019</v>
      </c>
      <c r="K417" s="6" t="s">
        <v>994</v>
      </c>
      <c r="L417" s="13">
        <v>808475030948</v>
      </c>
      <c r="M417" s="6">
        <v>39121613</v>
      </c>
      <c r="O417" s="6">
        <v>84731</v>
      </c>
      <c r="P417" s="6" t="s">
        <v>1168</v>
      </c>
      <c r="Q417" s="6" t="s">
        <v>994</v>
      </c>
      <c r="S417" s="8">
        <v>0.56114352140164903</v>
      </c>
      <c r="T417" s="8">
        <v>50.557176070082399</v>
      </c>
      <c r="U417" s="8">
        <v>60.557176070082399</v>
      </c>
      <c r="V417" s="8">
        <v>22.228704280329801</v>
      </c>
    </row>
    <row r="418" spans="1:22" x14ac:dyDescent="0.3">
      <c r="A418" s="5">
        <v>897448</v>
      </c>
      <c r="B418" s="5" t="s">
        <v>1071</v>
      </c>
      <c r="C418" s="5" t="s">
        <v>1072</v>
      </c>
      <c r="D418" s="5" t="s">
        <v>1073</v>
      </c>
      <c r="E418" s="5" t="s">
        <v>1074</v>
      </c>
      <c r="G418" s="19" t="b">
        <f t="shared" si="6"/>
        <v>0</v>
      </c>
      <c r="H418" s="19" t="b">
        <f>AND(J418&lt;&gt;"", T418&gt;75)</f>
        <v>0</v>
      </c>
      <c r="J418" s="6"/>
    </row>
    <row r="419" spans="1:22" x14ac:dyDescent="0.3">
      <c r="A419" s="5">
        <v>897449</v>
      </c>
      <c r="B419" s="5" t="s">
        <v>1169</v>
      </c>
      <c r="C419" s="5" t="s">
        <v>1130</v>
      </c>
      <c r="D419" s="5" t="s">
        <v>1170</v>
      </c>
      <c r="E419" s="5" t="s">
        <v>1171</v>
      </c>
      <c r="G419" s="19" t="b">
        <f t="shared" si="6"/>
        <v>0</v>
      </c>
      <c r="H419" s="19" t="b">
        <f>AND(J419&lt;&gt;"", T419&gt;75)</f>
        <v>0</v>
      </c>
      <c r="J419" s="6"/>
    </row>
    <row r="420" spans="1:22" hidden="1" x14ac:dyDescent="0.3">
      <c r="A420" s="5">
        <v>897450</v>
      </c>
      <c r="B420" s="5" t="s">
        <v>1172</v>
      </c>
      <c r="C420" s="5" t="s">
        <v>1080</v>
      </c>
      <c r="D420" s="5" t="s">
        <v>1173</v>
      </c>
      <c r="E420" s="5" t="s">
        <v>1174</v>
      </c>
      <c r="G420" s="19" t="b">
        <f t="shared" si="6"/>
        <v>0</v>
      </c>
      <c r="H420" s="19" t="b">
        <f>AND(J420&lt;&gt;"", T420&gt;75)</f>
        <v>0</v>
      </c>
      <c r="I420" s="6">
        <v>335828</v>
      </c>
      <c r="J420" s="6" t="s">
        <v>1173</v>
      </c>
      <c r="K420" s="6" t="s">
        <v>379</v>
      </c>
      <c r="L420" s="14" t="s">
        <v>1175</v>
      </c>
      <c r="M420" s="6">
        <v>39131700</v>
      </c>
      <c r="N420" s="6" t="s">
        <v>1174</v>
      </c>
      <c r="O420" s="6">
        <v>252647</v>
      </c>
      <c r="P420" s="6" t="s">
        <v>1176</v>
      </c>
      <c r="Q420" s="6" t="s">
        <v>379</v>
      </c>
      <c r="S420" s="7">
        <v>0.95783554491036704</v>
      </c>
      <c r="T420" s="8">
        <v>18.8064692303189</v>
      </c>
      <c r="U420" s="8">
        <v>17.374743862758798</v>
      </c>
      <c r="V420" s="8">
        <v>31.222035470051999</v>
      </c>
    </row>
    <row r="421" spans="1:22" hidden="1" x14ac:dyDescent="0.3">
      <c r="A421" s="5">
        <v>897451</v>
      </c>
      <c r="B421" s="5" t="s">
        <v>1177</v>
      </c>
      <c r="C421" s="5" t="s">
        <v>1067</v>
      </c>
      <c r="D421" s="5" t="s">
        <v>1178</v>
      </c>
      <c r="E421" s="5" t="s">
        <v>1179</v>
      </c>
      <c r="G421" s="19" t="b">
        <f t="shared" si="6"/>
        <v>0</v>
      </c>
      <c r="H421" s="19" t="b">
        <f>AND(J421&lt;&gt;"", T421&gt;75)</f>
        <v>1</v>
      </c>
      <c r="I421" s="6">
        <v>338493</v>
      </c>
      <c r="J421" s="11" t="s">
        <v>1178</v>
      </c>
      <c r="K421" s="6" t="s">
        <v>281</v>
      </c>
      <c r="L421" s="13">
        <v>781002558477</v>
      </c>
      <c r="M421" s="6">
        <v>31161504</v>
      </c>
      <c r="N421" s="6" t="s">
        <v>1179</v>
      </c>
      <c r="O421" s="6">
        <v>258054</v>
      </c>
      <c r="P421" s="6" t="s">
        <v>1177</v>
      </c>
      <c r="Q421" s="6" t="s">
        <v>281</v>
      </c>
      <c r="S421" s="8">
        <v>0.99999897195127696</v>
      </c>
      <c r="T421" s="8">
        <v>97.499948597563801</v>
      </c>
      <c r="U421" s="8">
        <v>97.499948597563801</v>
      </c>
      <c r="V421" s="7">
        <v>100</v>
      </c>
    </row>
    <row r="422" spans="1:22" x14ac:dyDescent="0.3">
      <c r="A422" s="5">
        <v>897452</v>
      </c>
      <c r="B422" s="5" t="s">
        <v>1180</v>
      </c>
      <c r="C422" s="5" t="s">
        <v>1080</v>
      </c>
      <c r="D422" s="5" t="s">
        <v>1181</v>
      </c>
      <c r="E422" s="5" t="s">
        <v>1182</v>
      </c>
      <c r="G422" s="19" t="b">
        <f t="shared" si="6"/>
        <v>0</v>
      </c>
      <c r="H422" s="19" t="b">
        <f>AND(J422&lt;&gt;"", T422&gt;75)</f>
        <v>0</v>
      </c>
      <c r="J422" s="6"/>
    </row>
    <row r="423" spans="1:22" x14ac:dyDescent="0.3">
      <c r="A423" s="5">
        <v>897453</v>
      </c>
      <c r="B423" s="5" t="s">
        <v>1183</v>
      </c>
      <c r="C423" s="5" t="s">
        <v>1094</v>
      </c>
      <c r="D423" s="5" t="s">
        <v>1184</v>
      </c>
      <c r="E423" s="5" t="s">
        <v>1185</v>
      </c>
      <c r="G423" s="19" t="b">
        <f t="shared" si="6"/>
        <v>1</v>
      </c>
      <c r="H423" s="19" t="b">
        <f>AND(J423&lt;&gt;"", T423&gt;75)</f>
        <v>0</v>
      </c>
      <c r="J423" s="6"/>
      <c r="Q423" s="6" t="s">
        <v>115</v>
      </c>
      <c r="R423" s="6" t="s">
        <v>1094</v>
      </c>
      <c r="U423" s="7">
        <v>60</v>
      </c>
    </row>
    <row r="424" spans="1:22" x14ac:dyDescent="0.3">
      <c r="A424" s="5">
        <v>897454</v>
      </c>
      <c r="B424" s="5" t="s">
        <v>1186</v>
      </c>
      <c r="D424" s="5" t="s">
        <v>1187</v>
      </c>
      <c r="G424" s="19" t="b">
        <f t="shared" si="6"/>
        <v>0</v>
      </c>
      <c r="H424" s="19" t="b">
        <f>AND(J424&lt;&gt;"", T424&gt;75)</f>
        <v>0</v>
      </c>
      <c r="J424" s="6"/>
    </row>
    <row r="425" spans="1:22" hidden="1" x14ac:dyDescent="0.3">
      <c r="A425" s="5">
        <v>897455</v>
      </c>
      <c r="B425" s="5" t="s">
        <v>1188</v>
      </c>
      <c r="C425" s="5" t="s">
        <v>1189</v>
      </c>
      <c r="D425" s="5" t="s">
        <v>1190</v>
      </c>
      <c r="E425" s="5" t="s">
        <v>1191</v>
      </c>
      <c r="G425" s="19" t="b">
        <f t="shared" si="6"/>
        <v>1</v>
      </c>
      <c r="H425" s="19" t="b">
        <f>AND(J425&lt;&gt;"", T425&gt;75)</f>
        <v>1</v>
      </c>
      <c r="I425" s="6">
        <v>337454</v>
      </c>
      <c r="J425" s="11" t="s">
        <v>1190</v>
      </c>
      <c r="K425" s="6" t="s">
        <v>376</v>
      </c>
      <c r="L425" s="13">
        <v>781810220573</v>
      </c>
      <c r="M425" s="6">
        <v>39131705</v>
      </c>
      <c r="N425" s="6" t="s">
        <v>1191</v>
      </c>
      <c r="O425" s="6">
        <v>254614</v>
      </c>
      <c r="P425" s="6" t="s">
        <v>1192</v>
      </c>
      <c r="Q425" s="6" t="s">
        <v>376</v>
      </c>
      <c r="R425" s="6" t="s">
        <v>1189</v>
      </c>
      <c r="S425" s="8">
        <v>0.90309801092136999</v>
      </c>
      <c r="T425" s="7">
        <v>100</v>
      </c>
      <c r="U425" s="7">
        <v>100</v>
      </c>
      <c r="V425" s="7">
        <v>100</v>
      </c>
    </row>
    <row r="426" spans="1:22" hidden="1" x14ac:dyDescent="0.3">
      <c r="A426" s="5">
        <v>897456</v>
      </c>
      <c r="B426" s="5" t="s">
        <v>1188</v>
      </c>
      <c r="C426" s="5" t="s">
        <v>1189</v>
      </c>
      <c r="D426" s="5" t="s">
        <v>1190</v>
      </c>
      <c r="E426" s="5" t="s">
        <v>1191</v>
      </c>
      <c r="G426" s="19" t="b">
        <f t="shared" si="6"/>
        <v>1</v>
      </c>
      <c r="H426" s="19" t="b">
        <f>AND(J426&lt;&gt;"", T426&gt;75)</f>
        <v>1</v>
      </c>
      <c r="I426" s="6">
        <v>337454</v>
      </c>
      <c r="J426" s="11" t="s">
        <v>1190</v>
      </c>
      <c r="K426" s="6" t="s">
        <v>376</v>
      </c>
      <c r="L426" s="13">
        <v>781810220573</v>
      </c>
      <c r="M426" s="6">
        <v>39131705</v>
      </c>
      <c r="N426" s="6" t="s">
        <v>1191</v>
      </c>
      <c r="O426" s="6">
        <v>254614</v>
      </c>
      <c r="P426" s="6" t="s">
        <v>1192</v>
      </c>
      <c r="Q426" s="6" t="s">
        <v>376</v>
      </c>
      <c r="R426" s="6" t="s">
        <v>1189</v>
      </c>
      <c r="S426" s="8">
        <v>0.90308023853731101</v>
      </c>
      <c r="T426" s="7">
        <v>100</v>
      </c>
      <c r="U426" s="7">
        <v>100</v>
      </c>
      <c r="V426" s="7">
        <v>100</v>
      </c>
    </row>
    <row r="427" spans="1:22" x14ac:dyDescent="0.3">
      <c r="A427" s="5">
        <v>897457</v>
      </c>
      <c r="B427" s="5" t="s">
        <v>1193</v>
      </c>
      <c r="C427" s="5" t="s">
        <v>1076</v>
      </c>
      <c r="D427" s="5" t="s">
        <v>1194</v>
      </c>
      <c r="E427" s="5" t="s">
        <v>1195</v>
      </c>
      <c r="G427" s="19" t="b">
        <f t="shared" si="6"/>
        <v>1</v>
      </c>
      <c r="H427" s="19" t="b">
        <f>AND(J427&lt;&gt;"", T427&gt;75)</f>
        <v>0</v>
      </c>
      <c r="J427" s="6"/>
      <c r="Q427" s="6" t="s">
        <v>1196</v>
      </c>
      <c r="R427" s="6" t="s">
        <v>1197</v>
      </c>
      <c r="U427" s="7">
        <v>60</v>
      </c>
    </row>
    <row r="428" spans="1:22" hidden="1" x14ac:dyDescent="0.3">
      <c r="A428" s="5">
        <v>897459</v>
      </c>
      <c r="B428" s="5" t="s">
        <v>1198</v>
      </c>
      <c r="C428" s="5" t="s">
        <v>1130</v>
      </c>
      <c r="D428" s="5" t="s">
        <v>1199</v>
      </c>
      <c r="E428" s="5" t="s">
        <v>1200</v>
      </c>
      <c r="G428" s="19" t="b">
        <f t="shared" si="6"/>
        <v>0</v>
      </c>
      <c r="H428" s="19" t="b">
        <f>AND(J428&lt;&gt;"", T428&gt;75)</f>
        <v>0</v>
      </c>
      <c r="I428" s="6">
        <v>330413</v>
      </c>
      <c r="J428" s="6" t="s">
        <v>1199</v>
      </c>
      <c r="K428" s="6" t="s">
        <v>1042</v>
      </c>
      <c r="L428" s="13">
        <v>784491160589</v>
      </c>
      <c r="M428" s="6">
        <v>39121432</v>
      </c>
      <c r="O428" s="6">
        <v>25260</v>
      </c>
      <c r="P428" s="6" t="s">
        <v>1201</v>
      </c>
      <c r="Q428" s="6" t="s">
        <v>1042</v>
      </c>
      <c r="S428" s="8">
        <v>0.45509799671763301</v>
      </c>
      <c r="T428" s="8">
        <v>45.254899835881602</v>
      </c>
      <c r="U428" s="8">
        <v>21.254899835881599</v>
      </c>
      <c r="V428" s="7">
        <v>0</v>
      </c>
    </row>
    <row r="429" spans="1:22" x14ac:dyDescent="0.3">
      <c r="A429" s="5">
        <v>897460</v>
      </c>
      <c r="B429" s="5" t="s">
        <v>1021</v>
      </c>
      <c r="C429" s="5" t="s">
        <v>1017</v>
      </c>
      <c r="D429" s="5" t="s">
        <v>1022</v>
      </c>
      <c r="E429" s="5" t="s">
        <v>1023</v>
      </c>
      <c r="G429" s="19" t="b">
        <f t="shared" si="6"/>
        <v>0</v>
      </c>
      <c r="H429" s="19" t="b">
        <f>AND(J429&lt;&gt;"", T429&gt;75)</f>
        <v>0</v>
      </c>
      <c r="J429" s="6"/>
    </row>
    <row r="430" spans="1:22" hidden="1" x14ac:dyDescent="0.3">
      <c r="A430" s="5">
        <v>897461</v>
      </c>
      <c r="B430" s="5" t="s">
        <v>1202</v>
      </c>
      <c r="C430" s="5" t="s">
        <v>1067</v>
      </c>
      <c r="D430" s="5" t="s">
        <v>1203</v>
      </c>
      <c r="E430" s="5" t="s">
        <v>1204</v>
      </c>
      <c r="G430" s="19" t="b">
        <f t="shared" si="6"/>
        <v>0</v>
      </c>
      <c r="H430" s="19" t="b">
        <f>AND(J430&lt;&gt;"", T430&gt;75)</f>
        <v>1</v>
      </c>
      <c r="I430" s="6">
        <v>210726</v>
      </c>
      <c r="J430" s="11" t="s">
        <v>1205</v>
      </c>
      <c r="K430" s="6" t="s">
        <v>281</v>
      </c>
      <c r="L430" s="13">
        <v>781002155157</v>
      </c>
      <c r="M430" s="6">
        <v>31161823</v>
      </c>
      <c r="O430" s="6">
        <v>37779</v>
      </c>
      <c r="P430" s="6" t="s">
        <v>1206</v>
      </c>
      <c r="Q430" s="6" t="s">
        <v>281</v>
      </c>
      <c r="S430" s="8">
        <v>0.91821317790820201</v>
      </c>
      <c r="T430" s="7">
        <v>100</v>
      </c>
      <c r="U430" s="7">
        <v>100</v>
      </c>
      <c r="V430" s="7">
        <v>100</v>
      </c>
    </row>
    <row r="431" spans="1:22" x14ac:dyDescent="0.3">
      <c r="A431" s="5">
        <v>897462</v>
      </c>
      <c r="B431" s="5" t="s">
        <v>1207</v>
      </c>
      <c r="C431" s="5" t="s">
        <v>36</v>
      </c>
      <c r="D431" s="5" t="s">
        <v>1208</v>
      </c>
      <c r="G431" s="19" t="b">
        <f t="shared" si="6"/>
        <v>1</v>
      </c>
      <c r="H431" s="19" t="b">
        <f>AND(J431&lt;&gt;"", T431&gt;75)</f>
        <v>0</v>
      </c>
      <c r="J431" s="6"/>
      <c r="Q431" s="6" t="s">
        <v>39</v>
      </c>
      <c r="R431" s="6" t="s">
        <v>36</v>
      </c>
      <c r="U431" s="7">
        <v>60</v>
      </c>
    </row>
    <row r="432" spans="1:22" x14ac:dyDescent="0.3">
      <c r="A432" s="5">
        <v>897463</v>
      </c>
      <c r="B432" s="5" t="s">
        <v>1209</v>
      </c>
      <c r="C432" s="5" t="s">
        <v>1065</v>
      </c>
      <c r="D432" s="5">
        <v>466</v>
      </c>
      <c r="E432" s="5" t="s">
        <v>1210</v>
      </c>
      <c r="G432" s="19" t="b">
        <f t="shared" si="6"/>
        <v>1</v>
      </c>
      <c r="H432" s="19" t="b">
        <f>AND(J432&lt;&gt;"", T432&gt;75)</f>
        <v>0</v>
      </c>
      <c r="J432" s="6"/>
      <c r="Q432" s="6" t="s">
        <v>39</v>
      </c>
      <c r="R432" s="6" t="s">
        <v>36</v>
      </c>
      <c r="U432" s="7">
        <v>60</v>
      </c>
    </row>
    <row r="433" spans="1:22" hidden="1" x14ac:dyDescent="0.3">
      <c r="A433" s="5">
        <v>897464</v>
      </c>
      <c r="B433" s="5" t="s">
        <v>1211</v>
      </c>
      <c r="C433" s="5" t="s">
        <v>1025</v>
      </c>
      <c r="D433" s="5" t="s">
        <v>1212</v>
      </c>
      <c r="E433" s="5" t="s">
        <v>1213</v>
      </c>
      <c r="G433" s="19" t="b">
        <f t="shared" si="6"/>
        <v>1</v>
      </c>
      <c r="H433" s="19" t="b">
        <f>AND(J433&lt;&gt;"", T433&gt;75)</f>
        <v>0</v>
      </c>
      <c r="I433" s="6">
        <v>336220</v>
      </c>
      <c r="J433" s="6" t="s">
        <v>1214</v>
      </c>
      <c r="K433" s="6" t="s">
        <v>540</v>
      </c>
      <c r="L433" s="14" t="s">
        <v>1215</v>
      </c>
      <c r="M433" s="6">
        <v>39121406</v>
      </c>
      <c r="N433" s="6" t="s">
        <v>1213</v>
      </c>
      <c r="O433" s="6">
        <v>262728</v>
      </c>
      <c r="P433" s="6" t="s">
        <v>1216</v>
      </c>
      <c r="Q433" s="6" t="s">
        <v>540</v>
      </c>
      <c r="R433" s="6" t="s">
        <v>1025</v>
      </c>
      <c r="S433" s="8">
        <v>0.97209286152476604</v>
      </c>
      <c r="T433" s="7">
        <v>0</v>
      </c>
      <c r="U433" s="7">
        <v>100</v>
      </c>
      <c r="V433" s="7">
        <v>100</v>
      </c>
    </row>
    <row r="434" spans="1:22" x14ac:dyDescent="0.3">
      <c r="A434" s="5">
        <v>897465</v>
      </c>
      <c r="B434" s="5" t="s">
        <v>1217</v>
      </c>
      <c r="C434" s="5" t="s">
        <v>1067</v>
      </c>
      <c r="D434" s="5" t="s">
        <v>1218</v>
      </c>
      <c r="E434" s="5" t="s">
        <v>1219</v>
      </c>
      <c r="G434" s="19" t="b">
        <f t="shared" si="6"/>
        <v>0</v>
      </c>
      <c r="H434" s="19" t="b">
        <f>AND(J434&lt;&gt;"", T434&gt;75)</f>
        <v>0</v>
      </c>
      <c r="J434" s="6"/>
    </row>
    <row r="435" spans="1:22" hidden="1" x14ac:dyDescent="0.3">
      <c r="A435" s="5">
        <v>897466</v>
      </c>
      <c r="B435" s="5" t="s">
        <v>1220</v>
      </c>
      <c r="C435" s="5" t="s">
        <v>1059</v>
      </c>
      <c r="D435" s="5" t="s">
        <v>1221</v>
      </c>
      <c r="E435" s="5" t="s">
        <v>1222</v>
      </c>
      <c r="G435" s="19" t="b">
        <f t="shared" si="6"/>
        <v>0</v>
      </c>
      <c r="H435" s="19" t="b">
        <f>AND(J435&lt;&gt;"", T435&gt;75)</f>
        <v>0</v>
      </c>
      <c r="I435" s="6">
        <v>336559</v>
      </c>
      <c r="J435" s="6" t="s">
        <v>1221</v>
      </c>
      <c r="K435" s="6" t="s">
        <v>194</v>
      </c>
      <c r="L435" s="13">
        <v>785007129618</v>
      </c>
      <c r="M435" s="6">
        <v>39121704</v>
      </c>
      <c r="N435" s="6" t="s">
        <v>1222</v>
      </c>
      <c r="O435" s="6">
        <v>265764</v>
      </c>
      <c r="P435" s="6" t="s">
        <v>1220</v>
      </c>
      <c r="Q435" s="6" t="s">
        <v>194</v>
      </c>
      <c r="S435" s="8">
        <v>0.99981818431089797</v>
      </c>
      <c r="T435" s="8">
        <v>19.9319987637965</v>
      </c>
      <c r="U435" s="8">
        <v>17.183634157807401</v>
      </c>
      <c r="V435" s="7">
        <v>100</v>
      </c>
    </row>
    <row r="436" spans="1:22" x14ac:dyDescent="0.3">
      <c r="A436" s="5">
        <v>897467</v>
      </c>
      <c r="B436" s="5" t="s">
        <v>1223</v>
      </c>
      <c r="C436" s="5" t="s">
        <v>1119</v>
      </c>
      <c r="D436" s="5" t="s">
        <v>1224</v>
      </c>
      <c r="E436" s="5" t="s">
        <v>1225</v>
      </c>
      <c r="G436" s="19" t="b">
        <f t="shared" si="6"/>
        <v>1</v>
      </c>
      <c r="H436" s="19" t="b">
        <f>AND(J436&lt;&gt;"", T436&gt;75)</f>
        <v>0</v>
      </c>
      <c r="J436" s="6"/>
      <c r="Q436" s="6" t="s">
        <v>618</v>
      </c>
      <c r="R436" s="6" t="s">
        <v>1119</v>
      </c>
      <c r="U436" s="7">
        <v>60</v>
      </c>
    </row>
    <row r="437" spans="1:22" x14ac:dyDescent="0.3">
      <c r="A437" s="5">
        <v>897468</v>
      </c>
      <c r="B437" s="5" t="s">
        <v>1226</v>
      </c>
      <c r="C437" s="5" t="s">
        <v>1227</v>
      </c>
      <c r="D437" s="5" t="s">
        <v>1228</v>
      </c>
      <c r="E437" s="5" t="s">
        <v>1229</v>
      </c>
      <c r="G437" s="19" t="b">
        <f t="shared" si="6"/>
        <v>0</v>
      </c>
      <c r="H437" s="19" t="b">
        <f>AND(J437&lt;&gt;"", T437&gt;75)</f>
        <v>0</v>
      </c>
      <c r="J437" s="6"/>
    </row>
    <row r="438" spans="1:22" x14ac:dyDescent="0.3">
      <c r="A438" s="5">
        <v>897469</v>
      </c>
      <c r="B438" s="5" t="s">
        <v>1230</v>
      </c>
      <c r="C438" s="5" t="s">
        <v>1227</v>
      </c>
      <c r="D438" s="5" t="s">
        <v>1231</v>
      </c>
      <c r="E438" s="5" t="s">
        <v>1232</v>
      </c>
      <c r="G438" s="19" t="b">
        <f t="shared" si="6"/>
        <v>0</v>
      </c>
      <c r="H438" s="19" t="b">
        <f>AND(J438&lt;&gt;"", T438&gt;75)</f>
        <v>0</v>
      </c>
      <c r="J438" s="6"/>
    </row>
    <row r="439" spans="1:22" x14ac:dyDescent="0.3">
      <c r="A439" s="5">
        <v>897470</v>
      </c>
      <c r="B439" s="5" t="s">
        <v>1233</v>
      </c>
      <c r="C439" s="5" t="s">
        <v>1130</v>
      </c>
      <c r="D439" s="5" t="s">
        <v>1234</v>
      </c>
      <c r="E439" s="5" t="s">
        <v>1235</v>
      </c>
      <c r="G439" s="19" t="b">
        <f t="shared" si="6"/>
        <v>0</v>
      </c>
      <c r="H439" s="19" t="b">
        <f>AND(J439&lt;&gt;"", T439&gt;75)</f>
        <v>0</v>
      </c>
      <c r="J439" s="6"/>
    </row>
    <row r="440" spans="1:22" x14ac:dyDescent="0.3">
      <c r="A440" s="5">
        <v>897471</v>
      </c>
      <c r="B440" s="5" t="s">
        <v>1236</v>
      </c>
      <c r="C440" s="5" t="s">
        <v>1072</v>
      </c>
      <c r="D440" s="5" t="s">
        <v>1237</v>
      </c>
      <c r="G440" s="19" t="b">
        <f t="shared" si="6"/>
        <v>1</v>
      </c>
      <c r="H440" s="19" t="b">
        <f>AND(J440&lt;&gt;"", T440&gt;75)</f>
        <v>0</v>
      </c>
      <c r="J440" s="6"/>
      <c r="Q440" s="6" t="s">
        <v>39</v>
      </c>
      <c r="R440" s="6" t="s">
        <v>1238</v>
      </c>
      <c r="U440" s="7">
        <v>70</v>
      </c>
    </row>
    <row r="441" spans="1:22" x14ac:dyDescent="0.3">
      <c r="A441" s="5">
        <v>897472</v>
      </c>
      <c r="B441" s="5" t="s">
        <v>1239</v>
      </c>
      <c r="C441" s="5" t="s">
        <v>1065</v>
      </c>
      <c r="D441" s="5">
        <v>709</v>
      </c>
      <c r="E441" s="5" t="s">
        <v>1240</v>
      </c>
      <c r="G441" s="19" t="b">
        <f t="shared" si="6"/>
        <v>1</v>
      </c>
      <c r="H441" s="19" t="b">
        <f>AND(J441&lt;&gt;"", T441&gt;75)</f>
        <v>0</v>
      </c>
      <c r="J441" s="6"/>
      <c r="Q441" s="6" t="s">
        <v>39</v>
      </c>
      <c r="R441" s="6" t="s">
        <v>1238</v>
      </c>
      <c r="U441" s="7">
        <v>70</v>
      </c>
    </row>
    <row r="442" spans="1:22" x14ac:dyDescent="0.3">
      <c r="A442" s="5">
        <v>897473</v>
      </c>
      <c r="B442" s="5" t="s">
        <v>1241</v>
      </c>
      <c r="C442" s="5" t="s">
        <v>1053</v>
      </c>
      <c r="E442" s="5" t="s">
        <v>1242</v>
      </c>
      <c r="G442" s="19" t="b">
        <f t="shared" si="6"/>
        <v>0</v>
      </c>
      <c r="H442" s="19" t="b">
        <f>AND(J442&lt;&gt;"", T442&gt;75)</f>
        <v>0</v>
      </c>
      <c r="J442" s="6"/>
    </row>
    <row r="443" spans="1:22" x14ac:dyDescent="0.3">
      <c r="A443" s="5">
        <v>897474</v>
      </c>
      <c r="B443" s="5" t="s">
        <v>1243</v>
      </c>
      <c r="C443" s="5" t="s">
        <v>36</v>
      </c>
      <c r="D443" s="5" t="s">
        <v>1244</v>
      </c>
      <c r="G443" s="19" t="b">
        <f t="shared" si="6"/>
        <v>1</v>
      </c>
      <c r="H443" s="19" t="b">
        <f>AND(J443&lt;&gt;"", T443&gt;75)</f>
        <v>0</v>
      </c>
      <c r="J443" s="6"/>
      <c r="Q443" s="6" t="s">
        <v>39</v>
      </c>
      <c r="R443" s="6" t="s">
        <v>36</v>
      </c>
      <c r="U443" s="7">
        <v>60</v>
      </c>
    </row>
    <row r="444" spans="1:22" x14ac:dyDescent="0.3">
      <c r="A444" s="5">
        <v>897475</v>
      </c>
      <c r="B444" s="5" t="s">
        <v>1245</v>
      </c>
      <c r="C444" s="5" t="s">
        <v>1130</v>
      </c>
      <c r="D444" s="5" t="s">
        <v>780</v>
      </c>
      <c r="E444" s="5" t="s">
        <v>781</v>
      </c>
      <c r="G444" s="19" t="b">
        <f t="shared" si="6"/>
        <v>0</v>
      </c>
      <c r="H444" s="19" t="b">
        <f>AND(J444&lt;&gt;"", T444&gt;75)</f>
        <v>0</v>
      </c>
      <c r="J444" s="6"/>
    </row>
    <row r="445" spans="1:22" x14ac:dyDescent="0.3">
      <c r="A445" s="5">
        <v>897476</v>
      </c>
      <c r="B445" s="5" t="s">
        <v>1246</v>
      </c>
      <c r="C445" s="5" t="s">
        <v>36</v>
      </c>
      <c r="D445" s="5" t="s">
        <v>1091</v>
      </c>
      <c r="E445" s="5" t="s">
        <v>1200</v>
      </c>
      <c r="G445" s="19" t="b">
        <f t="shared" si="6"/>
        <v>1</v>
      </c>
      <c r="H445" s="19" t="b">
        <f>AND(J445&lt;&gt;"", T445&gt;75)</f>
        <v>0</v>
      </c>
      <c r="J445" s="6"/>
      <c r="Q445" s="6" t="s">
        <v>39</v>
      </c>
      <c r="R445" s="6" t="s">
        <v>36</v>
      </c>
      <c r="U445" s="7">
        <v>60</v>
      </c>
    </row>
    <row r="446" spans="1:22" x14ac:dyDescent="0.3">
      <c r="A446" s="5">
        <v>897477</v>
      </c>
      <c r="B446" s="5" t="s">
        <v>1247</v>
      </c>
      <c r="C446" s="5" t="s">
        <v>1130</v>
      </c>
      <c r="D446" s="5" t="s">
        <v>1248</v>
      </c>
      <c r="G446" s="19" t="b">
        <f t="shared" si="6"/>
        <v>0</v>
      </c>
      <c r="H446" s="19" t="b">
        <f>AND(J446&lt;&gt;"", T446&gt;75)</f>
        <v>0</v>
      </c>
      <c r="J446" s="6"/>
    </row>
    <row r="447" spans="1:22" x14ac:dyDescent="0.3">
      <c r="A447" s="5">
        <v>897478</v>
      </c>
      <c r="B447" s="5" t="s">
        <v>1249</v>
      </c>
      <c r="C447" s="5" t="s">
        <v>1067</v>
      </c>
      <c r="D447" s="5" t="s">
        <v>1250</v>
      </c>
      <c r="E447" s="5" t="s">
        <v>1251</v>
      </c>
      <c r="G447" s="19" t="b">
        <f t="shared" si="6"/>
        <v>1</v>
      </c>
      <c r="H447" s="19" t="b">
        <f>AND(J447&lt;&gt;"", T447&gt;75)</f>
        <v>0</v>
      </c>
      <c r="J447" s="6"/>
      <c r="Q447" s="6" t="s">
        <v>964</v>
      </c>
      <c r="R447" s="6" t="s">
        <v>964</v>
      </c>
      <c r="U447" s="7">
        <v>60</v>
      </c>
    </row>
    <row r="448" spans="1:22" hidden="1" x14ac:dyDescent="0.3">
      <c r="A448" s="5">
        <v>897479</v>
      </c>
      <c r="B448" s="5" t="s">
        <v>1252</v>
      </c>
      <c r="C448" s="5" t="s">
        <v>1045</v>
      </c>
      <c r="D448" s="5" t="s">
        <v>1253</v>
      </c>
      <c r="E448" s="5" t="s">
        <v>1254</v>
      </c>
      <c r="G448" s="19" t="b">
        <f t="shared" si="6"/>
        <v>0</v>
      </c>
      <c r="H448" s="19" t="b">
        <f>AND(J448&lt;&gt;"", T448&gt;75)</f>
        <v>1</v>
      </c>
      <c r="I448" s="6">
        <v>337087</v>
      </c>
      <c r="J448" s="11" t="s">
        <v>1253</v>
      </c>
      <c r="K448" s="6" t="s">
        <v>303</v>
      </c>
      <c r="L448" s="13">
        <v>783510433802</v>
      </c>
      <c r="M448" s="6">
        <v>39121332</v>
      </c>
      <c r="N448" s="6" t="s">
        <v>1255</v>
      </c>
      <c r="O448" s="6">
        <v>259519</v>
      </c>
      <c r="P448" s="6" t="s">
        <v>1256</v>
      </c>
      <c r="Q448" s="6" t="s">
        <v>303</v>
      </c>
      <c r="S448" s="8">
        <v>0.98378631016100604</v>
      </c>
      <c r="T448" s="7">
        <v>100</v>
      </c>
      <c r="U448" s="7">
        <v>100</v>
      </c>
      <c r="V448" s="7">
        <v>100</v>
      </c>
    </row>
    <row r="449" spans="1:22" hidden="1" x14ac:dyDescent="0.3">
      <c r="A449" s="5">
        <v>897480</v>
      </c>
      <c r="B449" s="5" t="s">
        <v>1257</v>
      </c>
      <c r="C449" s="5" t="s">
        <v>1045</v>
      </c>
      <c r="D449" s="5" t="s">
        <v>1258</v>
      </c>
      <c r="E449" s="5" t="s">
        <v>1255</v>
      </c>
      <c r="G449" s="19" t="b">
        <f t="shared" si="6"/>
        <v>0</v>
      </c>
      <c r="H449" s="19" t="b">
        <f>AND(J449&lt;&gt;"", T449&gt;75)</f>
        <v>1</v>
      </c>
      <c r="I449" s="6">
        <v>337095</v>
      </c>
      <c r="J449" s="11" t="s">
        <v>1258</v>
      </c>
      <c r="K449" s="6" t="s">
        <v>303</v>
      </c>
      <c r="L449" s="13">
        <v>783510433307</v>
      </c>
      <c r="M449" s="6">
        <v>39121303</v>
      </c>
      <c r="N449" s="6" t="s">
        <v>1259</v>
      </c>
      <c r="O449" s="6">
        <v>259552</v>
      </c>
      <c r="P449" s="6" t="s">
        <v>1260</v>
      </c>
      <c r="Q449" s="6" t="s">
        <v>303</v>
      </c>
      <c r="S449" s="8">
        <v>0.98630926157158605</v>
      </c>
      <c r="T449" s="7">
        <v>100</v>
      </c>
      <c r="U449" s="7">
        <v>100</v>
      </c>
      <c r="V449" s="7">
        <v>100</v>
      </c>
    </row>
    <row r="450" spans="1:22" x14ac:dyDescent="0.3">
      <c r="A450" s="5">
        <v>897481</v>
      </c>
      <c r="B450" s="5" t="s">
        <v>1261</v>
      </c>
      <c r="C450" s="5" t="s">
        <v>1065</v>
      </c>
      <c r="D450" s="5">
        <v>462</v>
      </c>
      <c r="E450" s="5" t="s">
        <v>1259</v>
      </c>
      <c r="G450" s="19" t="b">
        <f t="shared" si="6"/>
        <v>0</v>
      </c>
      <c r="H450" s="19" t="b">
        <f>AND(J450&lt;&gt;"", T450&gt;75)</f>
        <v>0</v>
      </c>
      <c r="J450" s="6"/>
    </row>
    <row r="451" spans="1:22" x14ac:dyDescent="0.3">
      <c r="A451" s="5">
        <v>897482</v>
      </c>
      <c r="B451" s="5" t="s">
        <v>1262</v>
      </c>
      <c r="C451" s="5" t="s">
        <v>1263</v>
      </c>
      <c r="D451" s="5" t="s">
        <v>1264</v>
      </c>
      <c r="E451" s="5" t="s">
        <v>1265</v>
      </c>
      <c r="G451" s="19" t="b">
        <f t="shared" ref="G451:G514" si="7">(R451&lt;&gt;"")</f>
        <v>0</v>
      </c>
      <c r="H451" s="19" t="b">
        <f>AND(J451&lt;&gt;"", T451&gt;75)</f>
        <v>0</v>
      </c>
      <c r="J451" s="6"/>
    </row>
    <row r="452" spans="1:22" hidden="1" x14ac:dyDescent="0.3">
      <c r="A452" s="5">
        <v>897483</v>
      </c>
      <c r="B452" s="5" t="s">
        <v>1266</v>
      </c>
      <c r="C452" s="5" t="s">
        <v>1067</v>
      </c>
      <c r="D452" s="5" t="s">
        <v>1267</v>
      </c>
      <c r="E452" s="5" t="s">
        <v>1268</v>
      </c>
      <c r="G452" s="19" t="b">
        <f t="shared" si="7"/>
        <v>0</v>
      </c>
      <c r="H452" s="19" t="b">
        <f>AND(J452&lt;&gt;"", T452&gt;75)</f>
        <v>1</v>
      </c>
      <c r="I452" s="6">
        <v>210729</v>
      </c>
      <c r="J452" s="11" t="s">
        <v>1267</v>
      </c>
      <c r="K452" s="6" t="s">
        <v>281</v>
      </c>
      <c r="L452" s="13">
        <v>781002156048</v>
      </c>
      <c r="M452" s="6">
        <v>31161506</v>
      </c>
      <c r="O452" s="6">
        <v>37785</v>
      </c>
      <c r="P452" s="6" t="s">
        <v>1269</v>
      </c>
      <c r="Q452" s="6" t="s">
        <v>281</v>
      </c>
      <c r="S452" s="8">
        <v>0.91696305438875003</v>
      </c>
      <c r="T452" s="8">
        <v>83.348152719437493</v>
      </c>
      <c r="U452" s="8">
        <v>87.348152719437493</v>
      </c>
      <c r="V452" s="7">
        <v>100</v>
      </c>
    </row>
    <row r="453" spans="1:22" hidden="1" x14ac:dyDescent="0.3">
      <c r="A453" s="5">
        <v>897484</v>
      </c>
      <c r="B453" s="5" t="s">
        <v>1270</v>
      </c>
      <c r="C453" s="5" t="s">
        <v>1017</v>
      </c>
      <c r="D453" s="5" t="s">
        <v>250</v>
      </c>
      <c r="E453" s="5" t="s">
        <v>1271</v>
      </c>
      <c r="G453" s="19" t="b">
        <f t="shared" si="7"/>
        <v>0</v>
      </c>
      <c r="H453" s="19" t="b">
        <f>AND(J453&lt;&gt;"", T453&gt;75)</f>
        <v>1</v>
      </c>
      <c r="I453" s="6">
        <v>335696</v>
      </c>
      <c r="J453" s="11" t="s">
        <v>251</v>
      </c>
      <c r="K453" s="6" t="s">
        <v>112</v>
      </c>
      <c r="L453" s="13">
        <v>781011213305</v>
      </c>
      <c r="M453" s="6">
        <v>30101804</v>
      </c>
      <c r="N453" s="6" t="s">
        <v>89</v>
      </c>
      <c r="O453" s="6">
        <v>253277</v>
      </c>
      <c r="P453" s="6" t="s">
        <v>1019</v>
      </c>
      <c r="Q453" s="6" t="s">
        <v>42</v>
      </c>
      <c r="S453" s="8">
        <v>0.90659398642490596</v>
      </c>
      <c r="T453" s="7">
        <v>100</v>
      </c>
      <c r="U453" s="7">
        <v>100</v>
      </c>
      <c r="V453" s="7">
        <v>100</v>
      </c>
    </row>
    <row r="454" spans="1:22" hidden="1" x14ac:dyDescent="0.3">
      <c r="A454" s="5">
        <v>897485</v>
      </c>
      <c r="B454" s="5" t="s">
        <v>1272</v>
      </c>
      <c r="C454" s="5" t="s">
        <v>1098</v>
      </c>
      <c r="D454" s="5" t="s">
        <v>1273</v>
      </c>
      <c r="G454" s="19" t="b">
        <f t="shared" si="7"/>
        <v>0</v>
      </c>
      <c r="H454" s="19" t="b">
        <f>AND(J454&lt;&gt;"", T454&gt;75)</f>
        <v>1</v>
      </c>
      <c r="I454" s="6">
        <v>252662</v>
      </c>
      <c r="J454" s="11">
        <v>48220428</v>
      </c>
      <c r="K454" s="6" t="s">
        <v>134</v>
      </c>
      <c r="L454" s="14" t="s">
        <v>1274</v>
      </c>
      <c r="M454" s="6">
        <v>27111801</v>
      </c>
      <c r="O454" s="6">
        <v>223914</v>
      </c>
      <c r="P454" s="6" t="s">
        <v>1275</v>
      </c>
      <c r="Q454" s="6" t="s">
        <v>134</v>
      </c>
      <c r="S454" s="8">
        <v>0.87243056933053797</v>
      </c>
      <c r="T454" s="8">
        <v>91.121528466526897</v>
      </c>
      <c r="U454" s="8">
        <v>91.121528466526897</v>
      </c>
      <c r="V454" s="8">
        <v>99.486113866107601</v>
      </c>
    </row>
    <row r="455" spans="1:22" hidden="1" x14ac:dyDescent="0.3">
      <c r="A455" s="5">
        <v>897486</v>
      </c>
      <c r="B455" s="5" t="s">
        <v>1198</v>
      </c>
      <c r="C455" s="5" t="s">
        <v>1130</v>
      </c>
      <c r="D455" s="5" t="s">
        <v>1199</v>
      </c>
      <c r="E455" s="5" t="s">
        <v>89</v>
      </c>
      <c r="G455" s="19" t="b">
        <f t="shared" si="7"/>
        <v>0</v>
      </c>
      <c r="H455" s="19" t="b">
        <f>AND(J455&lt;&gt;"", T455&gt;75)</f>
        <v>0</v>
      </c>
      <c r="I455" s="6">
        <v>330413</v>
      </c>
      <c r="J455" s="6" t="s">
        <v>1199</v>
      </c>
      <c r="K455" s="6" t="s">
        <v>1042</v>
      </c>
      <c r="L455" s="13">
        <v>784491160589</v>
      </c>
      <c r="M455" s="6">
        <v>39121432</v>
      </c>
      <c r="O455" s="6">
        <v>25260</v>
      </c>
      <c r="P455" s="6" t="s">
        <v>1201</v>
      </c>
      <c r="Q455" s="6" t="s">
        <v>1042</v>
      </c>
      <c r="S455" s="8">
        <v>0.45504688988964198</v>
      </c>
      <c r="T455" s="8">
        <v>45.252344494482102</v>
      </c>
      <c r="U455" s="8">
        <v>21.252344494482099</v>
      </c>
      <c r="V455" s="7">
        <v>0</v>
      </c>
    </row>
    <row r="456" spans="1:22" hidden="1" x14ac:dyDescent="0.3">
      <c r="A456" s="5">
        <v>897487</v>
      </c>
      <c r="B456" s="5" t="s">
        <v>1276</v>
      </c>
      <c r="C456" s="5" t="s">
        <v>1277</v>
      </c>
      <c r="D456" s="5" t="s">
        <v>1278</v>
      </c>
      <c r="E456" s="5" t="s">
        <v>1279</v>
      </c>
      <c r="G456" s="19" t="b">
        <f t="shared" si="7"/>
        <v>0</v>
      </c>
      <c r="H456" s="19" t="b">
        <f>AND(J456&lt;&gt;"", T456&gt;75)</f>
        <v>1</v>
      </c>
      <c r="I456" s="6">
        <v>336909</v>
      </c>
      <c r="J456" s="11" t="s">
        <v>1280</v>
      </c>
      <c r="K456" s="6" t="s">
        <v>1281</v>
      </c>
      <c r="L456" s="13">
        <v>781381445757</v>
      </c>
      <c r="M456" s="6">
        <v>39131708</v>
      </c>
      <c r="N456" s="6" t="s">
        <v>1279</v>
      </c>
      <c r="O456" s="6">
        <v>252089</v>
      </c>
      <c r="P456" s="6" t="s">
        <v>1282</v>
      </c>
      <c r="Q456" s="6" t="s">
        <v>1281</v>
      </c>
      <c r="S456" s="8">
        <v>0.84994853855469399</v>
      </c>
      <c r="T456" s="8">
        <v>89.997426927734693</v>
      </c>
      <c r="U456" s="8">
        <v>89.997426927734693</v>
      </c>
      <c r="V456" s="7">
        <v>94.989707710938802</v>
      </c>
    </row>
    <row r="457" spans="1:22" x14ac:dyDescent="0.3">
      <c r="A457" s="5">
        <v>897488</v>
      </c>
      <c r="B457" s="5" t="s">
        <v>1283</v>
      </c>
      <c r="C457" s="5" t="s">
        <v>1284</v>
      </c>
      <c r="D457" s="5" t="s">
        <v>1285</v>
      </c>
      <c r="G457" s="19" t="b">
        <f t="shared" si="7"/>
        <v>1</v>
      </c>
      <c r="H457" s="19" t="b">
        <f>AND(J457&lt;&gt;"", T457&gt;75)</f>
        <v>0</v>
      </c>
      <c r="J457" s="6"/>
      <c r="Q457" s="6" t="s">
        <v>1286</v>
      </c>
      <c r="R457" s="6" t="s">
        <v>1287</v>
      </c>
      <c r="U457" s="7">
        <v>100</v>
      </c>
    </row>
    <row r="458" spans="1:22" hidden="1" x14ac:dyDescent="0.3">
      <c r="A458" s="5">
        <v>897489</v>
      </c>
      <c r="B458" s="5" t="s">
        <v>1288</v>
      </c>
      <c r="C458" s="5" t="s">
        <v>1277</v>
      </c>
      <c r="D458" s="5" t="s">
        <v>1289</v>
      </c>
      <c r="E458" s="5" t="s">
        <v>1290</v>
      </c>
      <c r="G458" s="19" t="b">
        <f t="shared" si="7"/>
        <v>0</v>
      </c>
      <c r="H458" s="19" t="b">
        <f>AND(J458&lt;&gt;"", T458&gt;75)</f>
        <v>1</v>
      </c>
      <c r="I458" s="6">
        <v>336958</v>
      </c>
      <c r="J458" s="11" t="s">
        <v>1289</v>
      </c>
      <c r="K458" s="6" t="s">
        <v>1281</v>
      </c>
      <c r="L458" s="13">
        <v>781381234122</v>
      </c>
      <c r="M458" s="6">
        <v>39131700</v>
      </c>
      <c r="N458" s="6" t="s">
        <v>1290</v>
      </c>
      <c r="O458" s="6">
        <v>252210</v>
      </c>
      <c r="P458" s="6" t="s">
        <v>1291</v>
      </c>
      <c r="Q458" s="6" t="s">
        <v>1281</v>
      </c>
      <c r="S458" s="7">
        <v>0.76708871886442098</v>
      </c>
      <c r="T458" s="8">
        <v>90.854435943221006</v>
      </c>
      <c r="U458" s="8">
        <v>88.854435943221006</v>
      </c>
      <c r="V458" s="7">
        <v>81.417743772884194</v>
      </c>
    </row>
    <row r="459" spans="1:22" x14ac:dyDescent="0.3">
      <c r="A459" s="5">
        <v>897490</v>
      </c>
      <c r="B459" s="5" t="s">
        <v>1292</v>
      </c>
      <c r="C459" s="5" t="s">
        <v>1017</v>
      </c>
      <c r="D459" s="5" t="s">
        <v>1293</v>
      </c>
      <c r="E459" s="5" t="s">
        <v>1294</v>
      </c>
      <c r="G459" s="19" t="b">
        <f t="shared" si="7"/>
        <v>0</v>
      </c>
      <c r="H459" s="19" t="b">
        <f>AND(J459&lt;&gt;"", T459&gt;75)</f>
        <v>0</v>
      </c>
      <c r="J459" s="6"/>
    </row>
    <row r="460" spans="1:22" x14ac:dyDescent="0.3">
      <c r="A460" s="5">
        <v>897491</v>
      </c>
      <c r="B460" s="5" t="s">
        <v>1295</v>
      </c>
      <c r="C460" s="5" t="s">
        <v>1296</v>
      </c>
      <c r="D460" s="5" t="s">
        <v>1297</v>
      </c>
      <c r="E460" s="5" t="s">
        <v>1298</v>
      </c>
      <c r="G460" s="19" t="b">
        <f t="shared" si="7"/>
        <v>1</v>
      </c>
      <c r="H460" s="19" t="b">
        <f>AND(J460&lt;&gt;"", T460&gt;75)</f>
        <v>0</v>
      </c>
      <c r="J460" s="6"/>
      <c r="Q460" s="6" t="s">
        <v>1299</v>
      </c>
      <c r="R460" s="6" t="s">
        <v>1296</v>
      </c>
      <c r="U460" s="7">
        <v>70</v>
      </c>
    </row>
    <row r="461" spans="1:22" hidden="1" x14ac:dyDescent="0.3">
      <c r="A461" s="5">
        <v>897492</v>
      </c>
      <c r="B461" s="5" t="s">
        <v>1300</v>
      </c>
      <c r="C461" s="5" t="s">
        <v>1017</v>
      </c>
      <c r="D461" s="5" t="s">
        <v>1301</v>
      </c>
      <c r="E461" s="5" t="s">
        <v>1302</v>
      </c>
      <c r="G461" s="19" t="b">
        <f t="shared" si="7"/>
        <v>0</v>
      </c>
      <c r="H461" s="19" t="b">
        <f>AND(J461&lt;&gt;"", T461&gt;75)</f>
        <v>1</v>
      </c>
      <c r="I461" s="6">
        <v>335795</v>
      </c>
      <c r="J461" s="11" t="s">
        <v>1303</v>
      </c>
      <c r="K461" s="6" t="s">
        <v>112</v>
      </c>
      <c r="L461" s="13">
        <v>781011257309</v>
      </c>
      <c r="M461" s="6">
        <v>30101804</v>
      </c>
      <c r="N461" s="6" t="s">
        <v>1302</v>
      </c>
      <c r="O461" s="6">
        <v>253317</v>
      </c>
      <c r="P461" s="6" t="s">
        <v>1304</v>
      </c>
      <c r="Q461" s="6" t="s">
        <v>42</v>
      </c>
      <c r="S461" s="8">
        <v>0.92033256271726005</v>
      </c>
      <c r="T461" s="7">
        <v>100</v>
      </c>
      <c r="U461" s="7">
        <v>100</v>
      </c>
      <c r="V461" s="7">
        <v>100</v>
      </c>
    </row>
    <row r="462" spans="1:22" x14ac:dyDescent="0.3">
      <c r="A462" s="5">
        <v>897493</v>
      </c>
      <c r="B462" s="5" t="s">
        <v>1305</v>
      </c>
      <c r="C462" s="5" t="s">
        <v>1025</v>
      </c>
      <c r="D462" s="5" t="s">
        <v>1306</v>
      </c>
      <c r="E462" s="5" t="s">
        <v>1307</v>
      </c>
      <c r="G462" s="19" t="b">
        <f t="shared" si="7"/>
        <v>0</v>
      </c>
      <c r="H462" s="19" t="b">
        <f>AND(J462&lt;&gt;"", T462&gt;75)</f>
        <v>0</v>
      </c>
      <c r="J462" s="6"/>
      <c r="U462" s="7">
        <v>0</v>
      </c>
    </row>
    <row r="463" spans="1:22" hidden="1" x14ac:dyDescent="0.3">
      <c r="A463" s="5">
        <v>897494</v>
      </c>
      <c r="B463" s="5" t="s">
        <v>1308</v>
      </c>
      <c r="C463" s="5" t="s">
        <v>1017</v>
      </c>
      <c r="D463" s="5" t="s">
        <v>1309</v>
      </c>
      <c r="E463" s="5" t="s">
        <v>1310</v>
      </c>
      <c r="G463" s="19" t="b">
        <f t="shared" si="7"/>
        <v>0</v>
      </c>
      <c r="H463" s="19" t="b">
        <f>AND(J463&lt;&gt;"", T463&gt;75)</f>
        <v>1</v>
      </c>
      <c r="I463" s="6">
        <v>337227</v>
      </c>
      <c r="J463" s="11" t="s">
        <v>1309</v>
      </c>
      <c r="K463" s="6" t="s">
        <v>112</v>
      </c>
      <c r="L463" s="13">
        <v>781011860912</v>
      </c>
      <c r="M463" s="6">
        <v>30101800</v>
      </c>
      <c r="N463" s="6" t="s">
        <v>1310</v>
      </c>
      <c r="O463" s="6">
        <v>253304</v>
      </c>
      <c r="P463" s="6" t="s">
        <v>1311</v>
      </c>
      <c r="Q463" s="6" t="s">
        <v>42</v>
      </c>
      <c r="S463" s="8">
        <v>0.96407660595720601</v>
      </c>
      <c r="T463" s="8">
        <v>95.703830297860307</v>
      </c>
      <c r="U463" s="8">
        <v>95.703830297860307</v>
      </c>
      <c r="V463" s="7">
        <v>100</v>
      </c>
    </row>
    <row r="464" spans="1:22" x14ac:dyDescent="0.3">
      <c r="A464" s="5">
        <v>897495</v>
      </c>
      <c r="B464" s="5" t="s">
        <v>1312</v>
      </c>
      <c r="C464" s="5" t="s">
        <v>1076</v>
      </c>
      <c r="D464" s="5" t="s">
        <v>1313</v>
      </c>
      <c r="E464" s="5" t="s">
        <v>1314</v>
      </c>
      <c r="G464" s="19" t="b">
        <f t="shared" si="7"/>
        <v>1</v>
      </c>
      <c r="H464" s="19" t="b">
        <f>AND(J464&lt;&gt;"", T464&gt;75)</f>
        <v>0</v>
      </c>
      <c r="J464" s="6"/>
      <c r="Q464" s="6" t="s">
        <v>1196</v>
      </c>
      <c r="R464" s="6" t="s">
        <v>1197</v>
      </c>
      <c r="U464" s="7">
        <v>60</v>
      </c>
    </row>
    <row r="465" spans="1:22" x14ac:dyDescent="0.3">
      <c r="A465" s="5">
        <v>897496</v>
      </c>
      <c r="B465" s="5" t="s">
        <v>1315</v>
      </c>
      <c r="C465" s="5" t="s">
        <v>1076</v>
      </c>
      <c r="D465" s="5" t="s">
        <v>1316</v>
      </c>
      <c r="E465" s="5" t="s">
        <v>1317</v>
      </c>
      <c r="G465" s="19" t="b">
        <f t="shared" si="7"/>
        <v>1</v>
      </c>
      <c r="H465" s="19" t="b">
        <f>AND(J465&lt;&gt;"", T465&gt;75)</f>
        <v>0</v>
      </c>
      <c r="J465" s="6"/>
      <c r="Q465" s="6" t="s">
        <v>1196</v>
      </c>
      <c r="R465" s="6" t="s">
        <v>1197</v>
      </c>
      <c r="U465" s="7">
        <v>60</v>
      </c>
    </row>
    <row r="466" spans="1:22" hidden="1" x14ac:dyDescent="0.3">
      <c r="A466" s="5">
        <v>897497</v>
      </c>
      <c r="B466" s="5" t="s">
        <v>1318</v>
      </c>
      <c r="C466" s="5" t="s">
        <v>1277</v>
      </c>
      <c r="D466" s="5" t="s">
        <v>1319</v>
      </c>
      <c r="E466" s="5" t="s">
        <v>1320</v>
      </c>
      <c r="G466" s="19" t="b">
        <f t="shared" si="7"/>
        <v>0</v>
      </c>
      <c r="H466" s="19" t="b">
        <f>AND(J466&lt;&gt;"", T466&gt;75)</f>
        <v>0</v>
      </c>
      <c r="I466" s="6">
        <v>336965</v>
      </c>
      <c r="J466" s="6" t="s">
        <v>1319</v>
      </c>
      <c r="K466" s="6" t="s">
        <v>1281</v>
      </c>
      <c r="L466" s="13">
        <v>781381621168</v>
      </c>
      <c r="M466" s="6">
        <v>39121311</v>
      </c>
      <c r="N466" s="6" t="s">
        <v>1320</v>
      </c>
      <c r="O466" s="6">
        <v>252247</v>
      </c>
      <c r="P466" s="6" t="s">
        <v>1321</v>
      </c>
      <c r="Q466" s="6" t="s">
        <v>1281</v>
      </c>
      <c r="S466" s="8">
        <v>0.93363656261797801</v>
      </c>
      <c r="T466" s="8">
        <v>23.948531868049901</v>
      </c>
      <c r="U466" s="8">
        <v>22.661967315951799</v>
      </c>
      <c r="V466" s="8">
        <v>55.4144021039751</v>
      </c>
    </row>
    <row r="467" spans="1:22" hidden="1" x14ac:dyDescent="0.3">
      <c r="A467" s="5">
        <v>897498</v>
      </c>
      <c r="B467" s="5" t="s">
        <v>1202</v>
      </c>
      <c r="C467" s="5" t="s">
        <v>1067</v>
      </c>
      <c r="D467" s="5" t="s">
        <v>1203</v>
      </c>
      <c r="E467" s="5" t="s">
        <v>1204</v>
      </c>
      <c r="G467" s="19" t="b">
        <f t="shared" si="7"/>
        <v>0</v>
      </c>
      <c r="H467" s="19" t="b">
        <f>AND(J467&lt;&gt;"", T467&gt;75)</f>
        <v>1</v>
      </c>
      <c r="I467" s="6">
        <v>210726</v>
      </c>
      <c r="J467" s="11" t="s">
        <v>1205</v>
      </c>
      <c r="K467" s="6" t="s">
        <v>281</v>
      </c>
      <c r="L467" s="13">
        <v>781002155157</v>
      </c>
      <c r="M467" s="6">
        <v>31161823</v>
      </c>
      <c r="O467" s="6">
        <v>37779</v>
      </c>
      <c r="P467" s="6" t="s">
        <v>1206</v>
      </c>
      <c r="Q467" s="6" t="s">
        <v>281</v>
      </c>
      <c r="S467" s="8">
        <v>0.91821317790820201</v>
      </c>
      <c r="T467" s="7">
        <v>100</v>
      </c>
      <c r="U467" s="7">
        <v>100</v>
      </c>
      <c r="V467" s="7">
        <v>100</v>
      </c>
    </row>
    <row r="468" spans="1:22" hidden="1" x14ac:dyDescent="0.3">
      <c r="A468" s="5">
        <v>897499</v>
      </c>
      <c r="B468" s="5" t="s">
        <v>1322</v>
      </c>
      <c r="C468" s="5" t="s">
        <v>1277</v>
      </c>
      <c r="D468" s="5" t="s">
        <v>1323</v>
      </c>
      <c r="E468" s="5" t="s">
        <v>1324</v>
      </c>
      <c r="G468" s="19" t="b">
        <f t="shared" si="7"/>
        <v>0</v>
      </c>
      <c r="H468" s="19" t="b">
        <f>AND(J468&lt;&gt;"", T468&gt;75)</f>
        <v>1</v>
      </c>
      <c r="I468" s="6">
        <v>336964</v>
      </c>
      <c r="J468" s="11" t="s">
        <v>1325</v>
      </c>
      <c r="K468" s="6" t="s">
        <v>1281</v>
      </c>
      <c r="L468" s="13">
        <v>781381293655</v>
      </c>
      <c r="M468" s="6">
        <v>39131717</v>
      </c>
      <c r="N468" s="6" t="s">
        <v>1324</v>
      </c>
      <c r="O468" s="6">
        <v>252242</v>
      </c>
      <c r="P468" s="6" t="s">
        <v>1326</v>
      </c>
      <c r="Q468" s="6" t="s">
        <v>1281</v>
      </c>
      <c r="S468" s="7">
        <v>0.84223614793767698</v>
      </c>
      <c r="T468" s="8">
        <v>89.611807396883805</v>
      </c>
      <c r="U468" s="8">
        <v>89.611807396883805</v>
      </c>
      <c r="V468" s="8">
        <v>93.447229587535304</v>
      </c>
    </row>
    <row r="469" spans="1:22" x14ac:dyDescent="0.3">
      <c r="A469" s="5">
        <v>897500</v>
      </c>
      <c r="B469" s="5" t="s">
        <v>1327</v>
      </c>
      <c r="C469" s="5" t="s">
        <v>1076</v>
      </c>
      <c r="D469" s="5" t="s">
        <v>1328</v>
      </c>
      <c r="E469" s="5" t="s">
        <v>1329</v>
      </c>
      <c r="G469" s="19" t="b">
        <f t="shared" si="7"/>
        <v>1</v>
      </c>
      <c r="H469" s="19" t="b">
        <f>AND(J469&lt;&gt;"", T469&gt;75)</f>
        <v>0</v>
      </c>
      <c r="J469" s="6"/>
      <c r="Q469" s="6" t="s">
        <v>1196</v>
      </c>
      <c r="R469" s="6" t="s">
        <v>1197</v>
      </c>
      <c r="U469" s="7">
        <v>60</v>
      </c>
    </row>
    <row r="470" spans="1:22" x14ac:dyDescent="0.3">
      <c r="A470" s="5">
        <v>897501</v>
      </c>
      <c r="B470" s="5" t="s">
        <v>1330</v>
      </c>
      <c r="C470" s="5" t="s">
        <v>1130</v>
      </c>
      <c r="D470" s="5" t="s">
        <v>1331</v>
      </c>
      <c r="E470" s="5" t="s">
        <v>1332</v>
      </c>
      <c r="G470" s="19" t="b">
        <f t="shared" si="7"/>
        <v>0</v>
      </c>
      <c r="H470" s="19" t="b">
        <f>AND(J470&lt;&gt;"", T470&gt;75)</f>
        <v>0</v>
      </c>
      <c r="J470" s="6"/>
    </row>
    <row r="471" spans="1:22" x14ac:dyDescent="0.3">
      <c r="A471" s="5">
        <v>897502</v>
      </c>
      <c r="B471" s="5" t="s">
        <v>1333</v>
      </c>
      <c r="C471" s="5" t="s">
        <v>1065</v>
      </c>
      <c r="D471" s="5">
        <v>11</v>
      </c>
      <c r="E471" s="5" t="s">
        <v>1334</v>
      </c>
      <c r="G471" s="19" t="b">
        <f t="shared" si="7"/>
        <v>0</v>
      </c>
      <c r="H471" s="19" t="b">
        <f>AND(J471&lt;&gt;"", T471&gt;75)</f>
        <v>0</v>
      </c>
      <c r="J471" s="6"/>
    </row>
    <row r="472" spans="1:22" hidden="1" x14ac:dyDescent="0.3">
      <c r="A472" s="5">
        <v>897504</v>
      </c>
      <c r="B472" s="5" t="s">
        <v>1335</v>
      </c>
      <c r="C472" s="5" t="s">
        <v>1134</v>
      </c>
      <c r="D472" s="5" t="s">
        <v>1336</v>
      </c>
      <c r="E472" s="5" t="s">
        <v>1337</v>
      </c>
      <c r="G472" s="19" t="b">
        <f t="shared" si="7"/>
        <v>0</v>
      </c>
      <c r="H472" s="19" t="b">
        <f>AND(J472&lt;&gt;"", T472&gt;75)</f>
        <v>1</v>
      </c>
      <c r="I472" s="6">
        <v>336464</v>
      </c>
      <c r="J472" s="11">
        <v>645118</v>
      </c>
      <c r="K472" s="6" t="s">
        <v>65</v>
      </c>
      <c r="L472" s="13">
        <v>783310056973</v>
      </c>
      <c r="M472" s="6">
        <v>23241638</v>
      </c>
      <c r="N472" s="6" t="s">
        <v>1337</v>
      </c>
      <c r="O472" s="6">
        <v>258965</v>
      </c>
      <c r="P472" s="6" t="s">
        <v>1338</v>
      </c>
      <c r="Q472" s="6" t="s">
        <v>65</v>
      </c>
      <c r="S472" s="8">
        <v>0.91972972584152402</v>
      </c>
      <c r="T472" s="8">
        <v>83.486486292076194</v>
      </c>
      <c r="U472" s="8">
        <v>87.486486292076194</v>
      </c>
      <c r="V472" s="7">
        <v>100</v>
      </c>
    </row>
    <row r="473" spans="1:22" hidden="1" x14ac:dyDescent="0.3">
      <c r="A473" s="5">
        <v>897505</v>
      </c>
      <c r="B473" s="5" t="s">
        <v>1031</v>
      </c>
      <c r="C473" s="5" t="s">
        <v>1017</v>
      </c>
      <c r="D473" s="5" t="s">
        <v>1032</v>
      </c>
      <c r="E473" s="5" t="s">
        <v>1033</v>
      </c>
      <c r="G473" s="19" t="b">
        <f t="shared" si="7"/>
        <v>0</v>
      </c>
      <c r="H473" s="19" t="b">
        <f>AND(J473&lt;&gt;"", T473&gt;75)</f>
        <v>1</v>
      </c>
      <c r="I473" s="6">
        <v>335842</v>
      </c>
      <c r="J473" s="11" t="s">
        <v>1034</v>
      </c>
      <c r="K473" s="6" t="s">
        <v>112</v>
      </c>
      <c r="L473" s="13">
        <v>781011500436</v>
      </c>
      <c r="M473" s="6">
        <v>30101504</v>
      </c>
      <c r="N473" s="6" t="s">
        <v>1033</v>
      </c>
      <c r="O473" s="6">
        <v>253241</v>
      </c>
      <c r="P473" s="6" t="s">
        <v>1035</v>
      </c>
      <c r="Q473" s="6" t="s">
        <v>42</v>
      </c>
      <c r="S473" s="8">
        <v>0.98435022460102795</v>
      </c>
      <c r="T473" s="8">
        <v>91.7175112300514</v>
      </c>
      <c r="U473" s="8">
        <v>93.7175112300514</v>
      </c>
      <c r="V473" s="7">
        <v>100</v>
      </c>
    </row>
    <row r="474" spans="1:22" hidden="1" x14ac:dyDescent="0.3">
      <c r="A474" s="5">
        <v>897506</v>
      </c>
      <c r="B474" s="5" t="s">
        <v>1339</v>
      </c>
      <c r="C474" s="5" t="s">
        <v>1134</v>
      </c>
      <c r="D474" s="5" t="s">
        <v>1340</v>
      </c>
      <c r="E474" s="5" t="s">
        <v>1341</v>
      </c>
      <c r="G474" s="19" t="b">
        <f t="shared" si="7"/>
        <v>0</v>
      </c>
      <c r="H474" s="19" t="b">
        <f>AND(J474&lt;&gt;"", T474&gt;75)</f>
        <v>0</v>
      </c>
      <c r="I474" s="6">
        <v>336623</v>
      </c>
      <c r="J474" s="6">
        <v>4621</v>
      </c>
      <c r="K474" s="6" t="s">
        <v>65</v>
      </c>
      <c r="L474" s="13">
        <v>783310260967</v>
      </c>
      <c r="M474" s="6">
        <v>15121502</v>
      </c>
      <c r="N474" s="6" t="s">
        <v>1341</v>
      </c>
      <c r="O474" s="6">
        <v>258985</v>
      </c>
      <c r="P474" s="6" t="s">
        <v>1342</v>
      </c>
      <c r="Q474" s="6" t="s">
        <v>65</v>
      </c>
      <c r="S474" s="8">
        <v>0.97396221268029204</v>
      </c>
      <c r="T474" s="8">
        <v>71.198110634014597</v>
      </c>
      <c r="U474" s="8">
        <v>81.198110634014597</v>
      </c>
      <c r="V474" s="7">
        <v>100</v>
      </c>
    </row>
    <row r="475" spans="1:22" x14ac:dyDescent="0.3">
      <c r="A475" s="5">
        <v>897507</v>
      </c>
      <c r="B475" s="5" t="s">
        <v>1343</v>
      </c>
      <c r="C475" s="5" t="s">
        <v>1344</v>
      </c>
      <c r="D475" s="5" t="s">
        <v>1345</v>
      </c>
      <c r="E475" s="5" t="s">
        <v>1346</v>
      </c>
      <c r="G475" s="19" t="b">
        <f t="shared" si="7"/>
        <v>0</v>
      </c>
      <c r="H475" s="19" t="b">
        <f>AND(J475&lt;&gt;"", T475&gt;75)</f>
        <v>0</v>
      </c>
      <c r="J475" s="6"/>
    </row>
    <row r="476" spans="1:22" hidden="1" x14ac:dyDescent="0.3">
      <c r="A476" s="5">
        <v>897508</v>
      </c>
      <c r="B476" s="5" t="s">
        <v>1347</v>
      </c>
      <c r="C476" s="5" t="s">
        <v>1025</v>
      </c>
      <c r="D476" s="5" t="s">
        <v>1348</v>
      </c>
      <c r="E476" s="5" t="s">
        <v>1349</v>
      </c>
      <c r="G476" s="19" t="b">
        <f t="shared" si="7"/>
        <v>1</v>
      </c>
      <c r="H476" s="19" t="b">
        <f>AND(J476&lt;&gt;"", T476&gt;75)</f>
        <v>1</v>
      </c>
      <c r="I476" s="6">
        <v>340141</v>
      </c>
      <c r="J476" s="11" t="s">
        <v>1350</v>
      </c>
      <c r="K476" s="6" t="s">
        <v>540</v>
      </c>
      <c r="L476" s="14" t="s">
        <v>1351</v>
      </c>
      <c r="M476" s="6">
        <v>39121406</v>
      </c>
      <c r="N476" s="6" t="s">
        <v>1352</v>
      </c>
      <c r="O476" s="6">
        <v>262707</v>
      </c>
      <c r="P476" s="6" t="s">
        <v>1353</v>
      </c>
      <c r="Q476" s="6" t="s">
        <v>540</v>
      </c>
      <c r="R476" s="6" t="s">
        <v>1025</v>
      </c>
      <c r="S476" s="8">
        <v>0.72768584092620503</v>
      </c>
      <c r="T476" s="8">
        <v>98.884292046310193</v>
      </c>
      <c r="U476" s="7">
        <v>100</v>
      </c>
      <c r="V476" s="8">
        <v>87.537168185241001</v>
      </c>
    </row>
    <row r="477" spans="1:22" x14ac:dyDescent="0.3">
      <c r="A477" s="5">
        <v>897509</v>
      </c>
      <c r="B477" s="5" t="s">
        <v>1354</v>
      </c>
      <c r="C477" s="5" t="s">
        <v>1076</v>
      </c>
      <c r="D477" s="5" t="s">
        <v>1355</v>
      </c>
      <c r="E477" s="5" t="s">
        <v>1356</v>
      </c>
      <c r="G477" s="19" t="b">
        <f t="shared" si="7"/>
        <v>1</v>
      </c>
      <c r="H477" s="19" t="b">
        <f>AND(J477&lt;&gt;"", T477&gt;75)</f>
        <v>0</v>
      </c>
      <c r="J477" s="6"/>
      <c r="Q477" s="6" t="s">
        <v>39</v>
      </c>
      <c r="R477" s="6" t="s">
        <v>36</v>
      </c>
      <c r="U477" s="7">
        <v>60</v>
      </c>
    </row>
    <row r="478" spans="1:22" x14ac:dyDescent="0.3">
      <c r="A478" s="5">
        <v>897510</v>
      </c>
      <c r="B478" s="5" t="s">
        <v>1357</v>
      </c>
      <c r="C478" s="5" t="s">
        <v>1065</v>
      </c>
      <c r="D478" s="5">
        <v>465</v>
      </c>
      <c r="E478" s="5" t="s">
        <v>1358</v>
      </c>
      <c r="G478" s="19" t="b">
        <f t="shared" si="7"/>
        <v>1</v>
      </c>
      <c r="H478" s="19" t="b">
        <f>AND(J478&lt;&gt;"", T478&gt;75)</f>
        <v>0</v>
      </c>
      <c r="J478" s="6"/>
      <c r="Q478" s="6" t="s">
        <v>39</v>
      </c>
      <c r="R478" s="6" t="s">
        <v>36</v>
      </c>
      <c r="U478" s="7">
        <v>60</v>
      </c>
    </row>
    <row r="479" spans="1:22" x14ac:dyDescent="0.3">
      <c r="A479" s="5">
        <v>897511</v>
      </c>
      <c r="B479" s="5" t="s">
        <v>1359</v>
      </c>
      <c r="C479" s="5" t="s">
        <v>1360</v>
      </c>
      <c r="D479" s="5" t="s">
        <v>1361</v>
      </c>
      <c r="G479" s="19" t="b">
        <f t="shared" si="7"/>
        <v>1</v>
      </c>
      <c r="H479" s="19" t="b">
        <f>AND(J479&lt;&gt;"", T479&gt;75)</f>
        <v>0</v>
      </c>
      <c r="J479" s="6"/>
      <c r="Q479" s="6" t="s">
        <v>33</v>
      </c>
      <c r="R479" s="6" t="s">
        <v>34</v>
      </c>
      <c r="U479" s="7">
        <v>60</v>
      </c>
    </row>
    <row r="480" spans="1:22" x14ac:dyDescent="0.3">
      <c r="A480" s="5">
        <v>897512</v>
      </c>
      <c r="B480" s="5" t="s">
        <v>1362</v>
      </c>
      <c r="C480" s="5" t="s">
        <v>1130</v>
      </c>
      <c r="D480" s="5" t="s">
        <v>1363</v>
      </c>
      <c r="E480" s="5" t="s">
        <v>1364</v>
      </c>
      <c r="G480" s="19" t="b">
        <f t="shared" si="7"/>
        <v>0</v>
      </c>
      <c r="H480" s="19" t="b">
        <f>AND(J480&lt;&gt;"", T480&gt;75)</f>
        <v>0</v>
      </c>
      <c r="J480" s="6"/>
    </row>
    <row r="481" spans="1:22" hidden="1" x14ac:dyDescent="0.3">
      <c r="A481" s="5">
        <v>897513</v>
      </c>
      <c r="B481" s="5" t="s">
        <v>1365</v>
      </c>
      <c r="C481" s="5" t="s">
        <v>1098</v>
      </c>
      <c r="D481" s="5" t="s">
        <v>1366</v>
      </c>
      <c r="E481" s="5" t="s">
        <v>1367</v>
      </c>
      <c r="G481" s="19" t="b">
        <f t="shared" si="7"/>
        <v>0</v>
      </c>
      <c r="H481" s="19" t="b">
        <f>AND(J481&lt;&gt;"", T481&gt;75)</f>
        <v>1</v>
      </c>
      <c r="I481" s="6">
        <v>340337</v>
      </c>
      <c r="J481" s="11">
        <v>48892738</v>
      </c>
      <c r="K481" s="6" t="s">
        <v>134</v>
      </c>
      <c r="L481" s="14" t="s">
        <v>1368</v>
      </c>
      <c r="M481" s="6">
        <v>23241600</v>
      </c>
      <c r="N481" s="6" t="s">
        <v>1367</v>
      </c>
      <c r="O481" s="6">
        <v>264222</v>
      </c>
      <c r="P481" s="6" t="s">
        <v>1369</v>
      </c>
      <c r="Q481" s="6" t="s">
        <v>134</v>
      </c>
      <c r="S481" s="7">
        <v>0.81707749487357095</v>
      </c>
      <c r="T481" s="8">
        <v>88.353874743678503</v>
      </c>
      <c r="U481" s="8">
        <v>88.353874743678503</v>
      </c>
      <c r="V481" s="8">
        <v>88.415498974714097</v>
      </c>
    </row>
    <row r="482" spans="1:22" hidden="1" x14ac:dyDescent="0.3">
      <c r="A482" s="5">
        <v>897514</v>
      </c>
      <c r="B482" s="5" t="s">
        <v>1370</v>
      </c>
      <c r="C482" s="5" t="s">
        <v>1098</v>
      </c>
      <c r="D482" s="5" t="s">
        <v>1371</v>
      </c>
      <c r="E482" s="5" t="s">
        <v>1372</v>
      </c>
      <c r="G482" s="19" t="b">
        <f t="shared" si="7"/>
        <v>0</v>
      </c>
      <c r="H482" s="19" t="b">
        <f>AND(J482&lt;&gt;"", T482&gt;75)</f>
        <v>1</v>
      </c>
      <c r="I482" s="6">
        <v>336636</v>
      </c>
      <c r="J482" s="11">
        <v>48892722</v>
      </c>
      <c r="K482" s="6" t="s">
        <v>134</v>
      </c>
      <c r="L482" s="14" t="s">
        <v>1373</v>
      </c>
      <c r="M482" s="6">
        <v>23241600</v>
      </c>
      <c r="N482" s="6" t="s">
        <v>1372</v>
      </c>
      <c r="O482" s="6">
        <v>264175</v>
      </c>
      <c r="P482" s="6" t="s">
        <v>1374</v>
      </c>
      <c r="Q482" s="6" t="s">
        <v>134</v>
      </c>
      <c r="S482" s="8">
        <v>0.82399672476619901</v>
      </c>
      <c r="T482" s="8">
        <v>88.699836238309899</v>
      </c>
      <c r="U482" s="8">
        <v>88.699836238309899</v>
      </c>
      <c r="V482" s="8">
        <v>89.799344953239896</v>
      </c>
    </row>
    <row r="483" spans="1:22" hidden="1" x14ac:dyDescent="0.3">
      <c r="A483" s="5">
        <v>897515</v>
      </c>
      <c r="B483" s="5" t="s">
        <v>1375</v>
      </c>
      <c r="C483" s="5" t="s">
        <v>1098</v>
      </c>
      <c r="D483" s="5" t="s">
        <v>1376</v>
      </c>
      <c r="E483" s="5" t="s">
        <v>1377</v>
      </c>
      <c r="G483" s="19" t="b">
        <f t="shared" si="7"/>
        <v>0</v>
      </c>
      <c r="H483" s="19" t="b">
        <f>AND(J483&lt;&gt;"", T483&gt;75)</f>
        <v>1</v>
      </c>
      <c r="I483" s="6">
        <v>336637</v>
      </c>
      <c r="J483" s="11">
        <v>48892730</v>
      </c>
      <c r="K483" s="6" t="s">
        <v>134</v>
      </c>
      <c r="L483" s="14" t="s">
        <v>1378</v>
      </c>
      <c r="M483" s="6">
        <v>23241600</v>
      </c>
      <c r="N483" s="6" t="s">
        <v>1377</v>
      </c>
      <c r="O483" s="6">
        <v>263249</v>
      </c>
      <c r="P483" s="6" t="s">
        <v>1379</v>
      </c>
      <c r="Q483" s="6" t="s">
        <v>134</v>
      </c>
      <c r="S483" s="8">
        <v>0.81020721863620804</v>
      </c>
      <c r="T483" s="8">
        <v>88.010360931810396</v>
      </c>
      <c r="U483" s="8">
        <v>88.010360931810396</v>
      </c>
      <c r="V483" s="8">
        <v>87.0414437272416</v>
      </c>
    </row>
    <row r="484" spans="1:22" x14ac:dyDescent="0.3">
      <c r="A484" s="5">
        <v>897516</v>
      </c>
      <c r="B484" s="5" t="s">
        <v>1380</v>
      </c>
      <c r="C484" s="5" t="s">
        <v>1189</v>
      </c>
      <c r="D484" s="5" t="s">
        <v>1381</v>
      </c>
      <c r="E484" s="5" t="s">
        <v>1382</v>
      </c>
      <c r="G484" s="19" t="b">
        <f t="shared" si="7"/>
        <v>1</v>
      </c>
      <c r="H484" s="19" t="b">
        <f>AND(J484&lt;&gt;"", T484&gt;75)</f>
        <v>0</v>
      </c>
      <c r="J484" s="6"/>
      <c r="Q484" s="6" t="s">
        <v>376</v>
      </c>
      <c r="R484" s="6" t="s">
        <v>1189</v>
      </c>
      <c r="U484" s="7">
        <v>60</v>
      </c>
    </row>
    <row r="485" spans="1:22" hidden="1" x14ac:dyDescent="0.3">
      <c r="A485" s="5">
        <v>897520</v>
      </c>
      <c r="B485" s="5" t="s">
        <v>1383</v>
      </c>
      <c r="C485" s="5" t="s">
        <v>1384</v>
      </c>
      <c r="D485" s="5">
        <v>34790</v>
      </c>
      <c r="E485" s="5" t="s">
        <v>1385</v>
      </c>
      <c r="G485" s="19" t="b">
        <f t="shared" si="7"/>
        <v>0</v>
      </c>
      <c r="H485" s="19" t="b">
        <f>AND(J485&lt;&gt;"", T485&gt;75)</f>
        <v>0</v>
      </c>
      <c r="I485" s="6">
        <v>277229</v>
      </c>
      <c r="J485" s="6">
        <v>34790</v>
      </c>
      <c r="K485" s="6" t="s">
        <v>212</v>
      </c>
      <c r="L485" s="14" t="s">
        <v>1386</v>
      </c>
      <c r="M485" s="6">
        <v>27112800</v>
      </c>
      <c r="O485" s="6">
        <v>205185</v>
      </c>
      <c r="P485" s="6" t="s">
        <v>1387</v>
      </c>
      <c r="Q485" s="6" t="s">
        <v>212</v>
      </c>
      <c r="S485" s="8">
        <v>0.339945555054111</v>
      </c>
      <c r="T485" s="8">
        <v>49.4972777527055</v>
      </c>
      <c r="U485" s="8">
        <v>55.4972777527055</v>
      </c>
      <c r="V485" s="7">
        <v>0</v>
      </c>
    </row>
    <row r="486" spans="1:22" hidden="1" x14ac:dyDescent="0.3">
      <c r="A486" s="5">
        <v>897521</v>
      </c>
      <c r="B486" s="5" t="s">
        <v>1388</v>
      </c>
      <c r="C486" s="5" t="s">
        <v>179</v>
      </c>
      <c r="D486" s="5" t="s">
        <v>1389</v>
      </c>
      <c r="E486" s="5" t="s">
        <v>1390</v>
      </c>
      <c r="G486" s="19" t="b">
        <f t="shared" si="7"/>
        <v>0</v>
      </c>
      <c r="H486" s="19" t="b">
        <f>AND(J486&lt;&gt;"", T486&gt;75)</f>
        <v>1</v>
      </c>
      <c r="I486" s="6">
        <v>341177</v>
      </c>
      <c r="J486" s="11" t="s">
        <v>1391</v>
      </c>
      <c r="K486" s="6" t="s">
        <v>593</v>
      </c>
      <c r="L486" s="14" t="s">
        <v>1392</v>
      </c>
      <c r="M486" s="6">
        <v>39121703</v>
      </c>
      <c r="N486" s="6" t="s">
        <v>1390</v>
      </c>
      <c r="O486" s="6">
        <v>265566</v>
      </c>
      <c r="P486" s="6" t="s">
        <v>1393</v>
      </c>
      <c r="Q486" s="6" t="s">
        <v>593</v>
      </c>
      <c r="S486" s="8">
        <v>0.95541162711364502</v>
      </c>
      <c r="T486" s="7">
        <v>100</v>
      </c>
      <c r="U486" s="8">
        <v>98.270581355682197</v>
      </c>
      <c r="V486" s="7">
        <v>100</v>
      </c>
    </row>
    <row r="487" spans="1:22" x14ac:dyDescent="0.3">
      <c r="A487" s="5">
        <v>897522</v>
      </c>
      <c r="B487" s="5" t="s">
        <v>1394</v>
      </c>
      <c r="C487" s="5" t="s">
        <v>1065</v>
      </c>
      <c r="D487" s="5" t="s">
        <v>1395</v>
      </c>
      <c r="E487" s="5" t="s">
        <v>1396</v>
      </c>
      <c r="G487" s="19" t="b">
        <f t="shared" si="7"/>
        <v>0</v>
      </c>
      <c r="H487" s="19" t="b">
        <f>AND(J487&lt;&gt;"", T487&gt;75)</f>
        <v>0</v>
      </c>
      <c r="J487" s="6"/>
    </row>
    <row r="488" spans="1:22" x14ac:dyDescent="0.3">
      <c r="A488" s="5">
        <v>897523</v>
      </c>
      <c r="B488" s="5" t="s">
        <v>1397</v>
      </c>
      <c r="C488" s="5" t="s">
        <v>1398</v>
      </c>
      <c r="D488" s="5" t="s">
        <v>1399</v>
      </c>
      <c r="G488" s="19" t="b">
        <f t="shared" si="7"/>
        <v>0</v>
      </c>
      <c r="H488" s="19" t="b">
        <f>AND(J488&lt;&gt;"", T488&gt;75)</f>
        <v>0</v>
      </c>
      <c r="J488" s="6"/>
    </row>
    <row r="489" spans="1:22" x14ac:dyDescent="0.3">
      <c r="A489" s="5">
        <v>897525</v>
      </c>
      <c r="B489" s="5" t="s">
        <v>1400</v>
      </c>
      <c r="C489" s="5" t="s">
        <v>1296</v>
      </c>
      <c r="D489" s="5" t="s">
        <v>1401</v>
      </c>
      <c r="E489" s="5" t="s">
        <v>1402</v>
      </c>
      <c r="G489" s="19" t="b">
        <f t="shared" si="7"/>
        <v>1</v>
      </c>
      <c r="H489" s="19" t="b">
        <f>AND(J489&lt;&gt;"", T489&gt;75)</f>
        <v>0</v>
      </c>
      <c r="J489" s="6"/>
      <c r="Q489" s="6" t="s">
        <v>1403</v>
      </c>
      <c r="R489" s="6" t="s">
        <v>1403</v>
      </c>
      <c r="U489" s="7">
        <v>50</v>
      </c>
    </row>
    <row r="490" spans="1:22" x14ac:dyDescent="0.3">
      <c r="A490" s="5">
        <v>897526</v>
      </c>
      <c r="B490" s="5" t="s">
        <v>1404</v>
      </c>
      <c r="C490" s="5" t="s">
        <v>1296</v>
      </c>
      <c r="D490" s="5" t="s">
        <v>1405</v>
      </c>
      <c r="E490" s="5" t="s">
        <v>1406</v>
      </c>
      <c r="G490" s="19" t="b">
        <f t="shared" si="7"/>
        <v>1</v>
      </c>
      <c r="H490" s="19" t="b">
        <f>AND(J490&lt;&gt;"", T490&gt;75)</f>
        <v>0</v>
      </c>
      <c r="J490" s="6"/>
      <c r="Q490" s="6" t="s">
        <v>1403</v>
      </c>
      <c r="R490" s="6" t="s">
        <v>1403</v>
      </c>
      <c r="U490" s="7">
        <v>50</v>
      </c>
    </row>
    <row r="491" spans="1:22" x14ac:dyDescent="0.3">
      <c r="A491" s="5">
        <v>897527</v>
      </c>
      <c r="B491" s="5" t="s">
        <v>1407</v>
      </c>
      <c r="C491" s="5" t="s">
        <v>1025</v>
      </c>
      <c r="D491" s="5" t="s">
        <v>1408</v>
      </c>
      <c r="E491" s="5" t="s">
        <v>1409</v>
      </c>
      <c r="G491" s="19" t="b">
        <f t="shared" si="7"/>
        <v>1</v>
      </c>
      <c r="H491" s="19" t="b">
        <f>AND(J491&lt;&gt;"", T491&gt;75)</f>
        <v>0</v>
      </c>
      <c r="J491" s="6"/>
      <c r="Q491" s="6" t="s">
        <v>540</v>
      </c>
      <c r="R491" s="6" t="s">
        <v>1025</v>
      </c>
      <c r="U491" s="7">
        <v>60</v>
      </c>
    </row>
    <row r="492" spans="1:22" x14ac:dyDescent="0.3">
      <c r="A492" s="5">
        <v>897528</v>
      </c>
      <c r="B492" s="5" t="s">
        <v>1410</v>
      </c>
      <c r="C492" s="5" t="s">
        <v>1134</v>
      </c>
      <c r="D492" s="5" t="s">
        <v>1411</v>
      </c>
      <c r="E492" s="5" t="s">
        <v>1412</v>
      </c>
      <c r="G492" s="19" t="b">
        <f t="shared" si="7"/>
        <v>0</v>
      </c>
      <c r="H492" s="19" t="b">
        <f>AND(J492&lt;&gt;"", T492&gt;75)</f>
        <v>0</v>
      </c>
      <c r="J492" s="6"/>
    </row>
    <row r="493" spans="1:22" x14ac:dyDescent="0.3">
      <c r="A493" s="5">
        <v>897529</v>
      </c>
      <c r="B493" s="5" t="s">
        <v>1413</v>
      </c>
      <c r="C493" s="5" t="s">
        <v>1414</v>
      </c>
      <c r="D493" s="5" t="s">
        <v>1415</v>
      </c>
      <c r="G493" s="19" t="b">
        <f t="shared" si="7"/>
        <v>0</v>
      </c>
      <c r="H493" s="19" t="b">
        <f>AND(J493&lt;&gt;"", T493&gt;75)</f>
        <v>0</v>
      </c>
      <c r="J493" s="6"/>
    </row>
    <row r="494" spans="1:22" x14ac:dyDescent="0.3">
      <c r="A494" s="5">
        <v>897530</v>
      </c>
      <c r="B494" s="5" t="s">
        <v>1416</v>
      </c>
      <c r="C494" s="5" t="s">
        <v>1414</v>
      </c>
      <c r="D494" s="5" t="s">
        <v>1417</v>
      </c>
      <c r="G494" s="19" t="b">
        <f t="shared" si="7"/>
        <v>0</v>
      </c>
      <c r="H494" s="19" t="b">
        <f>AND(J494&lt;&gt;"", T494&gt;75)</f>
        <v>0</v>
      </c>
      <c r="J494" s="6"/>
    </row>
    <row r="495" spans="1:22" x14ac:dyDescent="0.3">
      <c r="A495" s="5">
        <v>897531</v>
      </c>
      <c r="B495" s="5" t="s">
        <v>1418</v>
      </c>
      <c r="C495" s="5" t="s">
        <v>1414</v>
      </c>
      <c r="D495" s="5" t="s">
        <v>1419</v>
      </c>
      <c r="G495" s="19" t="b">
        <f t="shared" si="7"/>
        <v>0</v>
      </c>
      <c r="H495" s="19" t="b">
        <f>AND(J495&lt;&gt;"", T495&gt;75)</f>
        <v>0</v>
      </c>
      <c r="J495" s="6"/>
    </row>
    <row r="496" spans="1:22" hidden="1" x14ac:dyDescent="0.3">
      <c r="A496" s="5">
        <v>897532</v>
      </c>
      <c r="B496" s="5" t="s">
        <v>1420</v>
      </c>
      <c r="C496" s="5" t="s">
        <v>1045</v>
      </c>
      <c r="D496" s="5" t="s">
        <v>1421</v>
      </c>
      <c r="E496" s="5" t="s">
        <v>1422</v>
      </c>
      <c r="G496" s="19" t="b">
        <f t="shared" si="7"/>
        <v>0</v>
      </c>
      <c r="H496" s="19" t="b">
        <f>AND(J496&lt;&gt;"", T496&gt;75)</f>
        <v>1</v>
      </c>
      <c r="I496" s="6">
        <v>336729</v>
      </c>
      <c r="J496" s="11" t="s">
        <v>1421</v>
      </c>
      <c r="K496" s="6" t="s">
        <v>303</v>
      </c>
      <c r="L496" s="13">
        <v>783510548902</v>
      </c>
      <c r="M496" s="6">
        <v>39121332</v>
      </c>
      <c r="N496" s="6" t="s">
        <v>1422</v>
      </c>
      <c r="O496" s="6">
        <v>259401</v>
      </c>
      <c r="P496" s="6" t="s">
        <v>1420</v>
      </c>
      <c r="Q496" s="6" t="s">
        <v>303</v>
      </c>
      <c r="S496" s="8">
        <v>0.99955512187054196</v>
      </c>
      <c r="T496" s="8">
        <v>97.477756093527105</v>
      </c>
      <c r="U496" s="8">
        <v>97.477756093527105</v>
      </c>
      <c r="V496" s="7">
        <v>100</v>
      </c>
    </row>
    <row r="497" spans="1:22" x14ac:dyDescent="0.3">
      <c r="A497" s="5">
        <v>897533</v>
      </c>
      <c r="B497" s="5" t="s">
        <v>1423</v>
      </c>
      <c r="C497" s="5" t="s">
        <v>36</v>
      </c>
      <c r="D497" s="5" t="s">
        <v>1424</v>
      </c>
      <c r="G497" s="19" t="b">
        <f t="shared" si="7"/>
        <v>1</v>
      </c>
      <c r="H497" s="19" t="b">
        <f>AND(J497&lt;&gt;"", T497&gt;75)</f>
        <v>0</v>
      </c>
      <c r="J497" s="6"/>
      <c r="Q497" s="6" t="s">
        <v>39</v>
      </c>
      <c r="R497" s="6" t="s">
        <v>36</v>
      </c>
      <c r="U497" s="7">
        <v>60</v>
      </c>
    </row>
    <row r="498" spans="1:22" hidden="1" x14ac:dyDescent="0.3">
      <c r="A498" s="5">
        <v>897534</v>
      </c>
      <c r="B498" s="5" t="s">
        <v>1425</v>
      </c>
      <c r="C498" s="5" t="s">
        <v>1045</v>
      </c>
      <c r="D498" s="5" t="s">
        <v>1426</v>
      </c>
      <c r="E498" s="5" t="s">
        <v>1427</v>
      </c>
      <c r="G498" s="19" t="b">
        <f t="shared" si="7"/>
        <v>0</v>
      </c>
      <c r="H498" s="19" t="b">
        <f>AND(J498&lt;&gt;"", T498&gt;75)</f>
        <v>0</v>
      </c>
      <c r="I498" s="6">
        <v>337698</v>
      </c>
      <c r="J498" s="6" t="s">
        <v>1426</v>
      </c>
      <c r="K498" s="6" t="s">
        <v>303</v>
      </c>
      <c r="L498" s="13">
        <v>783510548407</v>
      </c>
      <c r="M498" s="6">
        <v>39121300</v>
      </c>
      <c r="N498" s="6" t="s">
        <v>1427</v>
      </c>
      <c r="O498" s="6">
        <v>259405</v>
      </c>
      <c r="P498" s="6" t="s">
        <v>1425</v>
      </c>
      <c r="Q498" s="6" t="s">
        <v>303</v>
      </c>
      <c r="S498" s="7">
        <v>0.99999908717880603</v>
      </c>
      <c r="T498" s="8">
        <v>22.0828477876384</v>
      </c>
      <c r="U498" s="8">
        <v>20.670315915242099</v>
      </c>
      <c r="V498" s="7">
        <v>100</v>
      </c>
    </row>
    <row r="499" spans="1:22" x14ac:dyDescent="0.3">
      <c r="A499" s="5">
        <v>897535</v>
      </c>
      <c r="B499" s="5" t="s">
        <v>1428</v>
      </c>
      <c r="C499" s="5" t="s">
        <v>36</v>
      </c>
      <c r="D499" s="5" t="s">
        <v>1429</v>
      </c>
      <c r="G499" s="19" t="b">
        <f t="shared" si="7"/>
        <v>1</v>
      </c>
      <c r="H499" s="19" t="b">
        <f>AND(J499&lt;&gt;"", T499&gt;75)</f>
        <v>0</v>
      </c>
      <c r="J499" s="6"/>
      <c r="Q499" s="6" t="s">
        <v>39</v>
      </c>
      <c r="R499" s="6" t="s">
        <v>36</v>
      </c>
      <c r="U499" s="7">
        <v>60</v>
      </c>
    </row>
    <row r="500" spans="1:22" x14ac:dyDescent="0.3">
      <c r="A500" s="5">
        <v>897537</v>
      </c>
      <c r="B500" s="5" t="s">
        <v>1430</v>
      </c>
      <c r="C500" s="5" t="s">
        <v>1065</v>
      </c>
      <c r="D500" s="5" t="s">
        <v>1431</v>
      </c>
      <c r="E500" s="5" t="s">
        <v>1432</v>
      </c>
      <c r="G500" s="19" t="b">
        <f t="shared" si="7"/>
        <v>0</v>
      </c>
      <c r="H500" s="19" t="b">
        <f>AND(J500&lt;&gt;"", T500&gt;75)</f>
        <v>0</v>
      </c>
      <c r="J500" s="6"/>
    </row>
    <row r="501" spans="1:22" hidden="1" x14ac:dyDescent="0.3">
      <c r="A501" s="5">
        <v>897538</v>
      </c>
      <c r="B501" s="5" t="s">
        <v>1433</v>
      </c>
      <c r="C501" s="5" t="s">
        <v>1065</v>
      </c>
      <c r="D501" s="5" t="s">
        <v>710</v>
      </c>
      <c r="E501" s="5" t="s">
        <v>711</v>
      </c>
      <c r="G501" s="19" t="b">
        <f t="shared" si="7"/>
        <v>0</v>
      </c>
      <c r="H501" s="19" t="b">
        <f>AND(J501&lt;&gt;"", T501&gt;75)</f>
        <v>1</v>
      </c>
      <c r="I501" s="6">
        <v>336381</v>
      </c>
      <c r="J501" s="11" t="s">
        <v>710</v>
      </c>
      <c r="K501" s="6" t="s">
        <v>308</v>
      </c>
      <c r="L501" s="13">
        <v>786189104035</v>
      </c>
      <c r="M501" s="6">
        <v>39121308</v>
      </c>
      <c r="N501" s="6" t="s">
        <v>711</v>
      </c>
      <c r="O501" s="6">
        <v>256184</v>
      </c>
      <c r="P501" s="6" t="s">
        <v>1434</v>
      </c>
      <c r="Q501" s="6" t="s">
        <v>308</v>
      </c>
      <c r="S501" s="8">
        <v>0.86489859304556505</v>
      </c>
      <c r="T501" s="8">
        <v>80.744929652278202</v>
      </c>
      <c r="U501" s="8">
        <v>84.744929652278202</v>
      </c>
      <c r="V501" s="8">
        <v>91.979718609112993</v>
      </c>
    </row>
    <row r="502" spans="1:22" hidden="1" x14ac:dyDescent="0.3">
      <c r="A502" s="5">
        <v>897539</v>
      </c>
      <c r="B502" s="5" t="s">
        <v>1435</v>
      </c>
      <c r="C502" s="5" t="s">
        <v>1017</v>
      </c>
      <c r="D502" s="5" t="s">
        <v>1436</v>
      </c>
      <c r="E502" s="5" t="s">
        <v>1437</v>
      </c>
      <c r="G502" s="19" t="b">
        <f t="shared" si="7"/>
        <v>0</v>
      </c>
      <c r="H502" s="19" t="b">
        <f>AND(J502&lt;&gt;"", T502&gt;75)</f>
        <v>1</v>
      </c>
      <c r="I502" s="6">
        <v>335874</v>
      </c>
      <c r="J502" s="11" t="s">
        <v>1438</v>
      </c>
      <c r="K502" s="6" t="s">
        <v>112</v>
      </c>
      <c r="L502" s="13">
        <v>781011028985</v>
      </c>
      <c r="M502" s="6">
        <v>39121321</v>
      </c>
      <c r="N502" s="6" t="s">
        <v>1437</v>
      </c>
      <c r="O502" s="6">
        <v>253328</v>
      </c>
      <c r="P502" s="6" t="s">
        <v>1439</v>
      </c>
      <c r="Q502" s="6" t="s">
        <v>42</v>
      </c>
      <c r="S502" s="8">
        <v>0.93052172961188295</v>
      </c>
      <c r="T502" s="8">
        <v>84.026086480594103</v>
      </c>
      <c r="U502" s="8">
        <v>88.026086480594103</v>
      </c>
      <c r="V502" s="7">
        <v>100</v>
      </c>
    </row>
    <row r="503" spans="1:22" hidden="1" x14ac:dyDescent="0.3">
      <c r="A503" s="5">
        <v>897540</v>
      </c>
      <c r="B503" s="5" t="s">
        <v>1440</v>
      </c>
      <c r="C503" s="5" t="s">
        <v>1065</v>
      </c>
      <c r="D503" s="5" t="s">
        <v>1441</v>
      </c>
      <c r="E503" s="5" t="s">
        <v>1442</v>
      </c>
      <c r="G503" s="19" t="b">
        <f t="shared" si="7"/>
        <v>0</v>
      </c>
      <c r="H503" s="19" t="b">
        <f>AND(J503&lt;&gt;"", T503&gt;75)</f>
        <v>1</v>
      </c>
      <c r="I503" s="6">
        <v>337892</v>
      </c>
      <c r="J503" s="11" t="s">
        <v>1441</v>
      </c>
      <c r="K503" s="6" t="s">
        <v>308</v>
      </c>
      <c r="L503" s="13">
        <v>786189105001</v>
      </c>
      <c r="M503" s="6">
        <v>39121321</v>
      </c>
      <c r="N503" s="6" t="s">
        <v>1442</v>
      </c>
      <c r="O503" s="6">
        <v>256455</v>
      </c>
      <c r="P503" s="6" t="s">
        <v>1443</v>
      </c>
      <c r="Q503" s="6" t="s">
        <v>308</v>
      </c>
      <c r="S503" s="8">
        <v>0.97688610965611899</v>
      </c>
      <c r="T503" s="8">
        <v>86.344305482805893</v>
      </c>
      <c r="U503" s="8">
        <v>90.344305482805893</v>
      </c>
      <c r="V503" s="7">
        <v>100</v>
      </c>
    </row>
    <row r="504" spans="1:22" x14ac:dyDescent="0.3">
      <c r="A504" s="5">
        <v>897541</v>
      </c>
      <c r="B504" s="5" t="s">
        <v>1444</v>
      </c>
      <c r="C504" s="5" t="s">
        <v>1065</v>
      </c>
      <c r="D504" s="5" t="s">
        <v>1445</v>
      </c>
      <c r="E504" s="5" t="s">
        <v>1446</v>
      </c>
      <c r="G504" s="19" t="b">
        <f t="shared" si="7"/>
        <v>0</v>
      </c>
      <c r="H504" s="19" t="b">
        <f>AND(J504&lt;&gt;"", T504&gt;75)</f>
        <v>0</v>
      </c>
      <c r="J504" s="6"/>
    </row>
    <row r="505" spans="1:22" hidden="1" x14ac:dyDescent="0.3">
      <c r="A505" s="5">
        <v>897542</v>
      </c>
      <c r="B505" s="5" t="s">
        <v>1447</v>
      </c>
      <c r="C505" s="5" t="s">
        <v>1065</v>
      </c>
      <c r="D505" s="5" t="s">
        <v>714</v>
      </c>
      <c r="E505" s="5" t="s">
        <v>715</v>
      </c>
      <c r="G505" s="19" t="b">
        <f t="shared" si="7"/>
        <v>0</v>
      </c>
      <c r="H505" s="19" t="b">
        <f>AND(J505&lt;&gt;"", T505&gt;75)</f>
        <v>1</v>
      </c>
      <c r="I505" s="6">
        <v>336383</v>
      </c>
      <c r="J505" s="11" t="s">
        <v>714</v>
      </c>
      <c r="K505" s="6" t="s">
        <v>308</v>
      </c>
      <c r="L505" s="13">
        <v>786189104721</v>
      </c>
      <c r="M505" s="6">
        <v>39121304</v>
      </c>
      <c r="N505" s="6" t="s">
        <v>715</v>
      </c>
      <c r="O505" s="6">
        <v>256437</v>
      </c>
      <c r="P505" s="6" t="s">
        <v>1447</v>
      </c>
      <c r="Q505" s="6" t="s">
        <v>308</v>
      </c>
      <c r="S505" s="8">
        <v>0.99999895439610098</v>
      </c>
      <c r="T505" s="8">
        <v>87.499947719804993</v>
      </c>
      <c r="U505" s="8">
        <v>91.499947719804993</v>
      </c>
      <c r="V505" s="7">
        <v>100</v>
      </c>
    </row>
    <row r="506" spans="1:22" x14ac:dyDescent="0.3">
      <c r="A506" s="5">
        <v>897543</v>
      </c>
      <c r="B506" s="5" t="s">
        <v>1448</v>
      </c>
      <c r="C506" s="5" t="s">
        <v>36</v>
      </c>
      <c r="D506" s="5" t="s">
        <v>1449</v>
      </c>
      <c r="G506" s="19" t="b">
        <f t="shared" si="7"/>
        <v>1</v>
      </c>
      <c r="H506" s="19" t="b">
        <f>AND(J506&lt;&gt;"", T506&gt;75)</f>
        <v>0</v>
      </c>
      <c r="J506" s="6"/>
      <c r="Q506" s="6" t="s">
        <v>39</v>
      </c>
      <c r="R506" s="6" t="s">
        <v>36</v>
      </c>
      <c r="U506" s="7">
        <v>60</v>
      </c>
    </row>
    <row r="507" spans="1:22" hidden="1" x14ac:dyDescent="0.3">
      <c r="A507" s="5">
        <v>897544</v>
      </c>
      <c r="B507" s="5" t="s">
        <v>1450</v>
      </c>
      <c r="D507" s="5" t="s">
        <v>1451</v>
      </c>
      <c r="G507" s="19" t="b">
        <f t="shared" si="7"/>
        <v>0</v>
      </c>
      <c r="H507" s="19" t="b">
        <f>AND(J507&lt;&gt;"", T507&gt;75)</f>
        <v>1</v>
      </c>
      <c r="I507" s="6">
        <v>87472</v>
      </c>
      <c r="J507" s="11" t="s">
        <v>1452</v>
      </c>
      <c r="K507" s="6" t="s">
        <v>303</v>
      </c>
      <c r="L507" s="13">
        <v>783510610708</v>
      </c>
      <c r="M507" s="6">
        <v>39121324</v>
      </c>
      <c r="O507" s="6">
        <v>126351</v>
      </c>
      <c r="P507" s="6" t="s">
        <v>1453</v>
      </c>
      <c r="Q507" s="6" t="s">
        <v>303</v>
      </c>
      <c r="S507" s="8">
        <v>0.55299491747478402</v>
      </c>
      <c r="T507" s="8">
        <v>85.149745873739207</v>
      </c>
      <c r="U507" s="8">
        <v>81.149745873739207</v>
      </c>
      <c r="V507" s="8">
        <v>41.598983494956897</v>
      </c>
    </row>
    <row r="508" spans="1:22" x14ac:dyDescent="0.3">
      <c r="A508" s="5">
        <v>897545</v>
      </c>
      <c r="B508" s="5" t="s">
        <v>1454</v>
      </c>
      <c r="C508" s="5" t="s">
        <v>1360</v>
      </c>
      <c r="D508" s="5" t="s">
        <v>1455</v>
      </c>
      <c r="E508" s="5" t="s">
        <v>1456</v>
      </c>
      <c r="G508" s="19" t="b">
        <f t="shared" si="7"/>
        <v>0</v>
      </c>
      <c r="H508" s="19" t="b">
        <f>AND(J508&lt;&gt;"", T508&gt;75)</f>
        <v>0</v>
      </c>
      <c r="J508" s="6"/>
    </row>
    <row r="509" spans="1:22" x14ac:dyDescent="0.3">
      <c r="A509" s="5">
        <v>897546</v>
      </c>
      <c r="B509" s="5" t="s">
        <v>1457</v>
      </c>
      <c r="C509" s="5" t="s">
        <v>1130</v>
      </c>
      <c r="D509" s="5" t="s">
        <v>1458</v>
      </c>
      <c r="E509" s="5" t="s">
        <v>1459</v>
      </c>
      <c r="G509" s="19" t="b">
        <f t="shared" si="7"/>
        <v>0</v>
      </c>
      <c r="H509" s="19" t="b">
        <f>AND(J509&lt;&gt;"", T509&gt;75)</f>
        <v>0</v>
      </c>
      <c r="J509" s="6"/>
    </row>
    <row r="510" spans="1:22" x14ac:dyDescent="0.3">
      <c r="A510" s="5">
        <v>897547</v>
      </c>
      <c r="B510" s="5" t="s">
        <v>1460</v>
      </c>
      <c r="C510" s="5" t="s">
        <v>1094</v>
      </c>
      <c r="D510" s="5" t="s">
        <v>1461</v>
      </c>
      <c r="E510" s="5" t="s">
        <v>658</v>
      </c>
      <c r="G510" s="19" t="b">
        <f t="shared" si="7"/>
        <v>1</v>
      </c>
      <c r="H510" s="19" t="b">
        <f>AND(J510&lt;&gt;"", T510&gt;75)</f>
        <v>0</v>
      </c>
      <c r="J510" s="6"/>
      <c r="Q510" s="6" t="s">
        <v>115</v>
      </c>
      <c r="R510" s="6" t="s">
        <v>1094</v>
      </c>
      <c r="U510" s="7">
        <v>60</v>
      </c>
    </row>
    <row r="511" spans="1:22" x14ac:dyDescent="0.3">
      <c r="A511" s="5">
        <v>897548</v>
      </c>
      <c r="B511" s="5" t="s">
        <v>1462</v>
      </c>
      <c r="C511" s="5" t="s">
        <v>1463</v>
      </c>
      <c r="D511" s="5" t="s">
        <v>1464</v>
      </c>
      <c r="G511" s="19" t="b">
        <f t="shared" si="7"/>
        <v>0</v>
      </c>
      <c r="H511" s="19" t="b">
        <f>AND(J511&lt;&gt;"", T511&gt;75)</f>
        <v>0</v>
      </c>
      <c r="J511" s="6"/>
    </row>
    <row r="512" spans="1:22" x14ac:dyDescent="0.3">
      <c r="A512" s="5">
        <v>897553</v>
      </c>
      <c r="B512" s="5" t="s">
        <v>1465</v>
      </c>
      <c r="C512" s="5" t="s">
        <v>1151</v>
      </c>
      <c r="D512" s="5" t="s">
        <v>1466</v>
      </c>
      <c r="E512" s="5" t="s">
        <v>1467</v>
      </c>
      <c r="G512" s="19" t="b">
        <f t="shared" si="7"/>
        <v>0</v>
      </c>
      <c r="H512" s="19" t="b">
        <f>AND(J512&lt;&gt;"", T512&gt;75)</f>
        <v>0</v>
      </c>
      <c r="J512" s="6"/>
    </row>
    <row r="513" spans="1:22" hidden="1" x14ac:dyDescent="0.3">
      <c r="A513" s="5">
        <v>897554</v>
      </c>
      <c r="B513" s="5" t="s">
        <v>1468</v>
      </c>
      <c r="C513" s="5" t="s">
        <v>1045</v>
      </c>
      <c r="D513" s="5" t="s">
        <v>1469</v>
      </c>
      <c r="E513" s="5" t="s">
        <v>1470</v>
      </c>
      <c r="G513" s="19" t="b">
        <f t="shared" si="7"/>
        <v>0</v>
      </c>
      <c r="H513" s="19" t="b">
        <f>AND(J513&lt;&gt;"", T513&gt;75)</f>
        <v>1</v>
      </c>
      <c r="I513" s="6">
        <v>336737</v>
      </c>
      <c r="J513" s="11" t="s">
        <v>1469</v>
      </c>
      <c r="K513" s="6" t="s">
        <v>303</v>
      </c>
      <c r="L513" s="13">
        <v>783510282509</v>
      </c>
      <c r="M513" s="6">
        <v>39121324</v>
      </c>
      <c r="N513" s="6" t="s">
        <v>1470</v>
      </c>
      <c r="O513" s="6">
        <v>259445</v>
      </c>
      <c r="P513" s="6" t="s">
        <v>1468</v>
      </c>
      <c r="Q513" s="6" t="s">
        <v>303</v>
      </c>
      <c r="S513" s="8">
        <v>0.99999891654888495</v>
      </c>
      <c r="T513" s="7">
        <v>100</v>
      </c>
      <c r="U513" s="7">
        <v>100</v>
      </c>
      <c r="V513" s="7">
        <v>100</v>
      </c>
    </row>
    <row r="514" spans="1:22" hidden="1" x14ac:dyDescent="0.3">
      <c r="A514" s="5">
        <v>897555</v>
      </c>
      <c r="B514" s="5" t="s">
        <v>1471</v>
      </c>
      <c r="C514" s="5" t="s">
        <v>1045</v>
      </c>
      <c r="D514" s="5" t="s">
        <v>1472</v>
      </c>
      <c r="E514" s="5" t="s">
        <v>1473</v>
      </c>
      <c r="G514" s="19" t="b">
        <f t="shared" si="7"/>
        <v>0</v>
      </c>
      <c r="H514" s="19" t="b">
        <f>AND(J514&lt;&gt;"", T514&gt;75)</f>
        <v>0</v>
      </c>
      <c r="I514" s="6">
        <v>336740</v>
      </c>
      <c r="J514" s="6" t="s">
        <v>1472</v>
      </c>
      <c r="K514" s="6" t="s">
        <v>303</v>
      </c>
      <c r="L514" s="13">
        <v>783510232207</v>
      </c>
      <c r="M514" s="6">
        <v>39121300</v>
      </c>
      <c r="N514" s="6" t="s">
        <v>1473</v>
      </c>
      <c r="O514" s="6">
        <v>259451</v>
      </c>
      <c r="P514" s="6" t="s">
        <v>1471</v>
      </c>
      <c r="Q514" s="6" t="s">
        <v>303</v>
      </c>
      <c r="S514" s="7">
        <v>0.99999909067245896</v>
      </c>
      <c r="T514" s="8">
        <v>26.577774567064601</v>
      </c>
      <c r="U514" s="8">
        <v>25.2624303440851</v>
      </c>
      <c r="V514" s="7">
        <v>100</v>
      </c>
    </row>
    <row r="515" spans="1:22" x14ac:dyDescent="0.3">
      <c r="A515" s="5">
        <v>897556</v>
      </c>
      <c r="B515" s="5" t="s">
        <v>1474</v>
      </c>
      <c r="C515" s="5" t="s">
        <v>1119</v>
      </c>
      <c r="D515" s="5" t="s">
        <v>1475</v>
      </c>
      <c r="E515" s="5" t="s">
        <v>1476</v>
      </c>
      <c r="G515" s="19" t="b">
        <f t="shared" ref="G515:G578" si="8">(R515&lt;&gt;"")</f>
        <v>1</v>
      </c>
      <c r="H515" s="19" t="b">
        <f>AND(J515&lt;&gt;"", T515&gt;75)</f>
        <v>0</v>
      </c>
      <c r="J515" s="6"/>
      <c r="Q515" s="6" t="s">
        <v>618</v>
      </c>
      <c r="R515" s="6" t="s">
        <v>1119</v>
      </c>
      <c r="U515" s="7">
        <v>60</v>
      </c>
    </row>
    <row r="516" spans="1:22" x14ac:dyDescent="0.3">
      <c r="A516" s="5">
        <v>897557</v>
      </c>
      <c r="B516" s="5" t="s">
        <v>1477</v>
      </c>
      <c r="C516" s="5" t="s">
        <v>1478</v>
      </c>
      <c r="D516" s="5" t="s">
        <v>1479</v>
      </c>
      <c r="E516" s="5" t="s">
        <v>1480</v>
      </c>
      <c r="G516" s="19" t="b">
        <f t="shared" si="8"/>
        <v>0</v>
      </c>
      <c r="H516" s="19" t="b">
        <f>AND(J516&lt;&gt;"", T516&gt;75)</f>
        <v>0</v>
      </c>
      <c r="J516" s="6"/>
    </row>
    <row r="517" spans="1:22" x14ac:dyDescent="0.3">
      <c r="A517" s="5">
        <v>897558</v>
      </c>
      <c r="B517" s="5" t="s">
        <v>1481</v>
      </c>
      <c r="C517" s="5" t="s">
        <v>1119</v>
      </c>
      <c r="D517" s="5" t="s">
        <v>1482</v>
      </c>
      <c r="E517" s="5" t="s">
        <v>1483</v>
      </c>
      <c r="G517" s="19" t="b">
        <f t="shared" si="8"/>
        <v>1</v>
      </c>
      <c r="H517" s="19" t="b">
        <f>AND(J517&lt;&gt;"", T517&gt;75)</f>
        <v>0</v>
      </c>
      <c r="J517" s="6"/>
      <c r="Q517" s="6" t="s">
        <v>618</v>
      </c>
      <c r="R517" s="6" t="s">
        <v>1119</v>
      </c>
      <c r="U517" s="7">
        <v>60</v>
      </c>
    </row>
    <row r="518" spans="1:22" x14ac:dyDescent="0.3">
      <c r="A518" s="5">
        <v>897559</v>
      </c>
      <c r="B518" s="5" t="s">
        <v>1484</v>
      </c>
      <c r="C518" s="5" t="s">
        <v>1119</v>
      </c>
      <c r="D518" s="5" t="s">
        <v>1485</v>
      </c>
      <c r="E518" s="5" t="s">
        <v>1486</v>
      </c>
      <c r="G518" s="19" t="b">
        <f t="shared" si="8"/>
        <v>1</v>
      </c>
      <c r="H518" s="19" t="b">
        <f>AND(J518&lt;&gt;"", T518&gt;75)</f>
        <v>0</v>
      </c>
      <c r="J518" s="6"/>
      <c r="Q518" s="6" t="s">
        <v>618</v>
      </c>
      <c r="R518" s="6" t="s">
        <v>1119</v>
      </c>
      <c r="U518" s="7">
        <v>60</v>
      </c>
    </row>
    <row r="519" spans="1:22" x14ac:dyDescent="0.3">
      <c r="A519" s="5">
        <v>897560</v>
      </c>
      <c r="B519" s="5" t="s">
        <v>1487</v>
      </c>
      <c r="C519" s="5" t="s">
        <v>1119</v>
      </c>
      <c r="D519" s="5" t="s">
        <v>1488</v>
      </c>
      <c r="E519" s="5" t="s">
        <v>1489</v>
      </c>
      <c r="G519" s="19" t="b">
        <f t="shared" si="8"/>
        <v>1</v>
      </c>
      <c r="H519" s="19" t="b">
        <f>AND(J519&lt;&gt;"", T519&gt;75)</f>
        <v>0</v>
      </c>
      <c r="J519" s="6"/>
      <c r="Q519" s="6" t="s">
        <v>618</v>
      </c>
      <c r="R519" s="6" t="s">
        <v>1119</v>
      </c>
      <c r="U519" s="7">
        <v>60</v>
      </c>
    </row>
    <row r="520" spans="1:22" x14ac:dyDescent="0.3">
      <c r="A520" s="5">
        <v>897561</v>
      </c>
      <c r="B520" s="5" t="s">
        <v>1490</v>
      </c>
      <c r="C520" s="5" t="s">
        <v>1119</v>
      </c>
      <c r="D520" s="5" t="s">
        <v>1491</v>
      </c>
      <c r="E520" s="5" t="s">
        <v>1492</v>
      </c>
      <c r="G520" s="19" t="b">
        <f t="shared" si="8"/>
        <v>1</v>
      </c>
      <c r="H520" s="19" t="b">
        <f>AND(J520&lt;&gt;"", T520&gt;75)</f>
        <v>0</v>
      </c>
      <c r="J520" s="6"/>
      <c r="Q520" s="6" t="s">
        <v>618</v>
      </c>
      <c r="R520" s="6" t="s">
        <v>1119</v>
      </c>
      <c r="U520" s="7">
        <v>60</v>
      </c>
    </row>
    <row r="521" spans="1:22" x14ac:dyDescent="0.3">
      <c r="A521" s="5">
        <v>897562</v>
      </c>
      <c r="B521" s="5" t="s">
        <v>1493</v>
      </c>
      <c r="C521" s="5" t="s">
        <v>1119</v>
      </c>
      <c r="D521" s="5" t="s">
        <v>1494</v>
      </c>
      <c r="E521" s="5" t="s">
        <v>1495</v>
      </c>
      <c r="G521" s="19" t="b">
        <f t="shared" si="8"/>
        <v>1</v>
      </c>
      <c r="H521" s="19" t="b">
        <f>AND(J521&lt;&gt;"", T521&gt;75)</f>
        <v>0</v>
      </c>
      <c r="J521" s="6"/>
      <c r="Q521" s="6" t="s">
        <v>618</v>
      </c>
      <c r="R521" s="6" t="s">
        <v>1119</v>
      </c>
      <c r="U521" s="7">
        <v>60</v>
      </c>
    </row>
    <row r="522" spans="1:22" x14ac:dyDescent="0.3">
      <c r="A522" s="5">
        <v>897563</v>
      </c>
      <c r="B522" s="5" t="s">
        <v>1496</v>
      </c>
      <c r="C522" s="5" t="s">
        <v>1119</v>
      </c>
      <c r="D522" s="5" t="s">
        <v>1497</v>
      </c>
      <c r="E522" s="5" t="s">
        <v>1498</v>
      </c>
      <c r="G522" s="19" t="b">
        <f t="shared" si="8"/>
        <v>1</v>
      </c>
      <c r="H522" s="19" t="b">
        <f>AND(J522&lt;&gt;"", T522&gt;75)</f>
        <v>0</v>
      </c>
      <c r="J522" s="6"/>
      <c r="Q522" s="6" t="s">
        <v>618</v>
      </c>
      <c r="R522" s="6" t="s">
        <v>1119</v>
      </c>
      <c r="U522" s="7">
        <v>60</v>
      </c>
    </row>
    <row r="523" spans="1:22" hidden="1" x14ac:dyDescent="0.3">
      <c r="A523" s="5">
        <v>897564</v>
      </c>
      <c r="B523" s="5" t="s">
        <v>1499</v>
      </c>
      <c r="C523" s="5" t="s">
        <v>1065</v>
      </c>
      <c r="D523" s="5" t="s">
        <v>1500</v>
      </c>
      <c r="E523" s="5" t="s">
        <v>1501</v>
      </c>
      <c r="G523" s="19" t="b">
        <f t="shared" si="8"/>
        <v>0</v>
      </c>
      <c r="H523" s="19" t="b">
        <f>AND(J523&lt;&gt;"", T523&gt;75)</f>
        <v>1</v>
      </c>
      <c r="I523" s="6">
        <v>337972</v>
      </c>
      <c r="J523" s="11" t="s">
        <v>1500</v>
      </c>
      <c r="K523" s="6" t="s">
        <v>308</v>
      </c>
      <c r="L523" s="13">
        <v>786189072921</v>
      </c>
      <c r="M523" s="6">
        <v>39121304</v>
      </c>
      <c r="N523" s="6" t="s">
        <v>1501</v>
      </c>
      <c r="O523" s="6">
        <v>256532</v>
      </c>
      <c r="P523" s="6" t="s">
        <v>1502</v>
      </c>
      <c r="Q523" s="6" t="s">
        <v>308</v>
      </c>
      <c r="S523" s="8">
        <v>0.91889884959659796</v>
      </c>
      <c r="T523" s="7">
        <v>88.444942479829905</v>
      </c>
      <c r="U523" s="7">
        <v>90.444942479829905</v>
      </c>
      <c r="V523" s="7">
        <v>100</v>
      </c>
    </row>
    <row r="524" spans="1:22" x14ac:dyDescent="0.3">
      <c r="A524" s="5">
        <v>897565</v>
      </c>
      <c r="B524" s="5" t="s">
        <v>1503</v>
      </c>
      <c r="C524" s="5" t="s">
        <v>1119</v>
      </c>
      <c r="D524" s="5" t="s">
        <v>1504</v>
      </c>
      <c r="E524" s="5" t="s">
        <v>1505</v>
      </c>
      <c r="G524" s="19" t="b">
        <f t="shared" si="8"/>
        <v>1</v>
      </c>
      <c r="H524" s="19" t="b">
        <f>AND(J524&lt;&gt;"", T524&gt;75)</f>
        <v>0</v>
      </c>
      <c r="J524" s="6"/>
      <c r="Q524" s="6" t="s">
        <v>618</v>
      </c>
      <c r="R524" s="6" t="s">
        <v>1119</v>
      </c>
      <c r="U524" s="7">
        <v>60</v>
      </c>
    </row>
    <row r="525" spans="1:22" hidden="1" x14ac:dyDescent="0.3">
      <c r="A525" s="5">
        <v>897566</v>
      </c>
      <c r="B525" s="5" t="s">
        <v>1506</v>
      </c>
      <c r="C525" s="5" t="s">
        <v>1025</v>
      </c>
      <c r="D525" s="5">
        <v>84014</v>
      </c>
      <c r="E525" s="5" t="s">
        <v>1507</v>
      </c>
      <c r="G525" s="19" t="b">
        <f t="shared" si="8"/>
        <v>1</v>
      </c>
      <c r="H525" s="19" t="b">
        <f>AND(J525&lt;&gt;"", T525&gt;75)</f>
        <v>1</v>
      </c>
      <c r="I525" s="6">
        <v>336214</v>
      </c>
      <c r="J525" s="11">
        <v>84014</v>
      </c>
      <c r="K525" s="6" t="s">
        <v>540</v>
      </c>
      <c r="L525" s="14" t="s">
        <v>1508</v>
      </c>
      <c r="M525" s="6">
        <v>39121704</v>
      </c>
      <c r="N525" s="6" t="s">
        <v>1507</v>
      </c>
      <c r="O525" s="6">
        <v>262596</v>
      </c>
      <c r="P525" s="6" t="s">
        <v>1506</v>
      </c>
      <c r="Q525" s="6" t="s">
        <v>540</v>
      </c>
      <c r="R525" s="6" t="s">
        <v>1025</v>
      </c>
      <c r="S525" s="8">
        <v>0.99999905791167498</v>
      </c>
      <c r="T525" s="7">
        <v>100</v>
      </c>
      <c r="U525" s="7">
        <v>100</v>
      </c>
      <c r="V525" s="7">
        <v>100</v>
      </c>
    </row>
    <row r="526" spans="1:22" x14ac:dyDescent="0.3">
      <c r="A526" s="5">
        <v>897567</v>
      </c>
      <c r="B526" s="5" t="s">
        <v>1509</v>
      </c>
      <c r="C526" s="5" t="s">
        <v>1119</v>
      </c>
      <c r="D526" s="5" t="s">
        <v>1510</v>
      </c>
      <c r="G526" s="19" t="b">
        <f t="shared" si="8"/>
        <v>1</v>
      </c>
      <c r="H526" s="19" t="b">
        <f>AND(J526&lt;&gt;"", T526&gt;75)</f>
        <v>0</v>
      </c>
      <c r="J526" s="6"/>
      <c r="Q526" s="6" t="s">
        <v>618</v>
      </c>
      <c r="R526" s="6" t="s">
        <v>1119</v>
      </c>
      <c r="U526" s="7">
        <v>60</v>
      </c>
    </row>
    <row r="527" spans="1:22" x14ac:dyDescent="0.3">
      <c r="A527" s="5">
        <v>897568</v>
      </c>
      <c r="B527" s="5" t="s">
        <v>1249</v>
      </c>
      <c r="C527" s="5" t="s">
        <v>1067</v>
      </c>
      <c r="D527" s="5" t="s">
        <v>1250</v>
      </c>
      <c r="E527" s="5" t="s">
        <v>1254</v>
      </c>
      <c r="G527" s="19" t="b">
        <f t="shared" si="8"/>
        <v>1</v>
      </c>
      <c r="H527" s="19" t="b">
        <f>AND(J527&lt;&gt;"", T527&gt;75)</f>
        <v>0</v>
      </c>
      <c r="J527" s="6"/>
      <c r="Q527" s="6" t="s">
        <v>964</v>
      </c>
      <c r="R527" s="6" t="s">
        <v>964</v>
      </c>
      <c r="U527" s="7">
        <v>60</v>
      </c>
    </row>
    <row r="528" spans="1:22" x14ac:dyDescent="0.3">
      <c r="A528" s="5">
        <v>897569</v>
      </c>
      <c r="B528" s="5" t="s">
        <v>1511</v>
      </c>
      <c r="C528" s="5" t="s">
        <v>1119</v>
      </c>
      <c r="D528" s="5" t="s">
        <v>1512</v>
      </c>
      <c r="E528" s="5" t="s">
        <v>1513</v>
      </c>
      <c r="G528" s="19" t="b">
        <f t="shared" si="8"/>
        <v>1</v>
      </c>
      <c r="H528" s="19" t="b">
        <f>AND(J528&lt;&gt;"", T528&gt;75)</f>
        <v>0</v>
      </c>
      <c r="J528" s="6"/>
      <c r="Q528" s="6" t="s">
        <v>618</v>
      </c>
      <c r="R528" s="6" t="s">
        <v>1119</v>
      </c>
      <c r="U528" s="7">
        <v>60</v>
      </c>
    </row>
    <row r="529" spans="1:22" x14ac:dyDescent="0.3">
      <c r="A529" s="5">
        <v>897570</v>
      </c>
      <c r="B529" s="5" t="s">
        <v>1514</v>
      </c>
      <c r="C529" s="5" t="s">
        <v>1080</v>
      </c>
      <c r="D529" s="5" t="s">
        <v>1515</v>
      </c>
      <c r="E529" s="5" t="s">
        <v>1516</v>
      </c>
      <c r="G529" s="19" t="b">
        <f t="shared" si="8"/>
        <v>1</v>
      </c>
      <c r="H529" s="19" t="b">
        <f>AND(J529&lt;&gt;"", T529&gt;75)</f>
        <v>0</v>
      </c>
      <c r="J529" s="6"/>
      <c r="Q529" s="6" t="s">
        <v>39</v>
      </c>
      <c r="R529" s="6" t="s">
        <v>1238</v>
      </c>
      <c r="U529" s="7">
        <v>70</v>
      </c>
    </row>
    <row r="530" spans="1:22" x14ac:dyDescent="0.3">
      <c r="A530" s="5">
        <v>897571</v>
      </c>
      <c r="B530" s="5" t="s">
        <v>1517</v>
      </c>
      <c r="C530" s="5" t="s">
        <v>1119</v>
      </c>
      <c r="D530" s="5" t="s">
        <v>1518</v>
      </c>
      <c r="E530" s="5" t="s">
        <v>1519</v>
      </c>
      <c r="G530" s="19" t="b">
        <f t="shared" si="8"/>
        <v>1</v>
      </c>
      <c r="H530" s="19" t="b">
        <f>AND(J530&lt;&gt;"", T530&gt;75)</f>
        <v>0</v>
      </c>
      <c r="J530" s="6"/>
      <c r="Q530" s="6" t="s">
        <v>618</v>
      </c>
      <c r="R530" s="6" t="s">
        <v>1119</v>
      </c>
      <c r="U530" s="7">
        <v>60</v>
      </c>
    </row>
    <row r="531" spans="1:22" x14ac:dyDescent="0.3">
      <c r="A531" s="5">
        <v>897572</v>
      </c>
      <c r="B531" s="5" t="s">
        <v>1520</v>
      </c>
      <c r="C531" s="5" t="s">
        <v>1119</v>
      </c>
      <c r="D531" s="5" t="s">
        <v>1521</v>
      </c>
      <c r="E531" s="5" t="s">
        <v>1522</v>
      </c>
      <c r="G531" s="19" t="b">
        <f t="shared" si="8"/>
        <v>1</v>
      </c>
      <c r="H531" s="19" t="b">
        <f>AND(J531&lt;&gt;"", T531&gt;75)</f>
        <v>0</v>
      </c>
      <c r="J531" s="6"/>
      <c r="Q531" s="6" t="s">
        <v>618</v>
      </c>
      <c r="R531" s="6" t="s">
        <v>1119</v>
      </c>
      <c r="U531" s="7">
        <v>60</v>
      </c>
    </row>
    <row r="532" spans="1:22" x14ac:dyDescent="0.3">
      <c r="A532" s="5">
        <v>897573</v>
      </c>
      <c r="B532" s="5" t="s">
        <v>1523</v>
      </c>
      <c r="C532" s="5" t="s">
        <v>1119</v>
      </c>
      <c r="D532" s="5" t="s">
        <v>1524</v>
      </c>
      <c r="E532" s="5" t="s">
        <v>1525</v>
      </c>
      <c r="G532" s="19" t="b">
        <f t="shared" si="8"/>
        <v>1</v>
      </c>
      <c r="H532" s="19" t="b">
        <f>AND(J532&lt;&gt;"", T532&gt;75)</f>
        <v>0</v>
      </c>
      <c r="J532" s="6"/>
      <c r="Q532" s="6" t="s">
        <v>618</v>
      </c>
      <c r="R532" s="6" t="s">
        <v>1119</v>
      </c>
      <c r="U532" s="7">
        <v>60</v>
      </c>
    </row>
    <row r="533" spans="1:22" x14ac:dyDescent="0.3">
      <c r="A533" s="5">
        <v>897574</v>
      </c>
      <c r="B533" s="5" t="s">
        <v>1526</v>
      </c>
      <c r="C533" s="5" t="s">
        <v>1151</v>
      </c>
      <c r="D533" s="5" t="s">
        <v>1527</v>
      </c>
      <c r="E533" s="5" t="s">
        <v>1528</v>
      </c>
      <c r="G533" s="19" t="b">
        <f t="shared" si="8"/>
        <v>0</v>
      </c>
      <c r="H533" s="19" t="b">
        <f>AND(J533&lt;&gt;"", T533&gt;75)</f>
        <v>0</v>
      </c>
      <c r="J533" s="6"/>
    </row>
    <row r="534" spans="1:22" x14ac:dyDescent="0.3">
      <c r="A534" s="5">
        <v>897575</v>
      </c>
      <c r="B534" s="5" t="s">
        <v>1529</v>
      </c>
      <c r="C534" s="5" t="s">
        <v>1151</v>
      </c>
      <c r="D534" s="5" t="s">
        <v>1530</v>
      </c>
      <c r="E534" s="5" t="s">
        <v>1531</v>
      </c>
      <c r="G534" s="19" t="b">
        <f t="shared" si="8"/>
        <v>0</v>
      </c>
      <c r="H534" s="19" t="b">
        <f>AND(J534&lt;&gt;"", T534&gt;75)</f>
        <v>0</v>
      </c>
      <c r="J534" s="6"/>
    </row>
    <row r="535" spans="1:22" x14ac:dyDescent="0.3">
      <c r="A535" s="5">
        <v>897576</v>
      </c>
      <c r="B535" s="5" t="s">
        <v>1532</v>
      </c>
      <c r="C535" s="5" t="s">
        <v>1151</v>
      </c>
      <c r="D535" s="5" t="s">
        <v>1533</v>
      </c>
      <c r="G535" s="19" t="b">
        <f t="shared" si="8"/>
        <v>0</v>
      </c>
      <c r="H535" s="19" t="b">
        <f>AND(J535&lt;&gt;"", T535&gt;75)</f>
        <v>0</v>
      </c>
      <c r="J535" s="6"/>
    </row>
    <row r="536" spans="1:22" x14ac:dyDescent="0.3">
      <c r="A536" s="5">
        <v>897577</v>
      </c>
      <c r="B536" s="5" t="s">
        <v>1534</v>
      </c>
      <c r="C536" s="5" t="s">
        <v>1119</v>
      </c>
      <c r="D536" s="5" t="s">
        <v>1535</v>
      </c>
      <c r="E536" s="5" t="s">
        <v>1536</v>
      </c>
      <c r="G536" s="19" t="b">
        <f t="shared" si="8"/>
        <v>1</v>
      </c>
      <c r="H536" s="19" t="b">
        <f>AND(J536&lt;&gt;"", T536&gt;75)</f>
        <v>0</v>
      </c>
      <c r="J536" s="6"/>
      <c r="Q536" s="6" t="s">
        <v>618</v>
      </c>
      <c r="R536" s="6" t="s">
        <v>1119</v>
      </c>
      <c r="U536" s="7">
        <v>60</v>
      </c>
    </row>
    <row r="537" spans="1:22" x14ac:dyDescent="0.3">
      <c r="A537" s="5">
        <v>897578</v>
      </c>
      <c r="B537" s="5" t="s">
        <v>1537</v>
      </c>
      <c r="C537" s="5" t="s">
        <v>1119</v>
      </c>
      <c r="D537" s="5" t="s">
        <v>1538</v>
      </c>
      <c r="E537" s="5" t="s">
        <v>1539</v>
      </c>
      <c r="G537" s="19" t="b">
        <f t="shared" si="8"/>
        <v>1</v>
      </c>
      <c r="H537" s="19" t="b">
        <f>AND(J537&lt;&gt;"", T537&gt;75)</f>
        <v>0</v>
      </c>
      <c r="J537" s="6"/>
      <c r="Q537" s="6" t="s">
        <v>618</v>
      </c>
      <c r="R537" s="6" t="s">
        <v>1119</v>
      </c>
      <c r="U537" s="7">
        <v>60</v>
      </c>
    </row>
    <row r="538" spans="1:22" x14ac:dyDescent="0.3">
      <c r="A538" s="5">
        <v>897579</v>
      </c>
      <c r="B538" s="5" t="s">
        <v>1540</v>
      </c>
      <c r="C538" s="5" t="s">
        <v>1119</v>
      </c>
      <c r="D538" s="5" t="s">
        <v>1541</v>
      </c>
      <c r="G538" s="19" t="b">
        <f t="shared" si="8"/>
        <v>1</v>
      </c>
      <c r="H538" s="19" t="b">
        <f>AND(J538&lt;&gt;"", T538&gt;75)</f>
        <v>0</v>
      </c>
      <c r="J538" s="6"/>
      <c r="Q538" s="6" t="s">
        <v>618</v>
      </c>
      <c r="R538" s="6" t="s">
        <v>1119</v>
      </c>
      <c r="U538" s="7">
        <v>60</v>
      </c>
    </row>
    <row r="539" spans="1:22" x14ac:dyDescent="0.3">
      <c r="A539" s="5">
        <v>897580</v>
      </c>
      <c r="B539" s="5" t="s">
        <v>1542</v>
      </c>
      <c r="C539" s="5" t="s">
        <v>1151</v>
      </c>
      <c r="D539" s="5" t="s">
        <v>1543</v>
      </c>
      <c r="G539" s="19" t="b">
        <f t="shared" si="8"/>
        <v>0</v>
      </c>
      <c r="H539" s="19" t="b">
        <f>AND(J539&lt;&gt;"", T539&gt;75)</f>
        <v>0</v>
      </c>
      <c r="J539" s="6"/>
    </row>
    <row r="540" spans="1:22" x14ac:dyDescent="0.3">
      <c r="A540" s="5">
        <v>897581</v>
      </c>
      <c r="B540" s="5" t="s">
        <v>1544</v>
      </c>
      <c r="C540" s="5" t="s">
        <v>1151</v>
      </c>
      <c r="D540" s="5" t="s">
        <v>1545</v>
      </c>
      <c r="G540" s="19" t="b">
        <f t="shared" si="8"/>
        <v>0</v>
      </c>
      <c r="H540" s="19" t="b">
        <f>AND(J540&lt;&gt;"", T540&gt;75)</f>
        <v>0</v>
      </c>
      <c r="J540" s="6"/>
    </row>
    <row r="541" spans="1:22" x14ac:dyDescent="0.3">
      <c r="A541" s="5">
        <v>897582</v>
      </c>
      <c r="B541" s="5" t="s">
        <v>1546</v>
      </c>
      <c r="C541" s="5" t="s">
        <v>1119</v>
      </c>
      <c r="D541" s="5" t="s">
        <v>1547</v>
      </c>
      <c r="E541" s="5" t="s">
        <v>1548</v>
      </c>
      <c r="G541" s="19" t="b">
        <f t="shared" si="8"/>
        <v>1</v>
      </c>
      <c r="H541" s="19" t="b">
        <f>AND(J541&lt;&gt;"", T541&gt;75)</f>
        <v>0</v>
      </c>
      <c r="J541" s="6"/>
      <c r="Q541" s="6" t="s">
        <v>618</v>
      </c>
      <c r="R541" s="6" t="s">
        <v>1119</v>
      </c>
      <c r="U541" s="7">
        <v>60</v>
      </c>
    </row>
    <row r="542" spans="1:22" hidden="1" x14ac:dyDescent="0.3">
      <c r="A542" s="5">
        <v>897583</v>
      </c>
      <c r="B542" s="5" t="s">
        <v>1549</v>
      </c>
      <c r="C542" s="5" t="s">
        <v>1065</v>
      </c>
      <c r="D542" s="5" t="s">
        <v>1550</v>
      </c>
      <c r="E542" s="5" t="s">
        <v>1551</v>
      </c>
      <c r="G542" s="19" t="b">
        <f t="shared" si="8"/>
        <v>0</v>
      </c>
      <c r="H542" s="19" t="b">
        <f>AND(J542&lt;&gt;"", T542&gt;75)</f>
        <v>1</v>
      </c>
      <c r="I542" s="6">
        <v>337869</v>
      </c>
      <c r="J542" s="11" t="s">
        <v>1550</v>
      </c>
      <c r="K542" s="6" t="s">
        <v>308</v>
      </c>
      <c r="L542" s="13">
        <v>786189104042</v>
      </c>
      <c r="M542" s="6">
        <v>39121308</v>
      </c>
      <c r="N542" s="6" t="s">
        <v>1551</v>
      </c>
      <c r="O542" s="6">
        <v>256425</v>
      </c>
      <c r="P542" s="6" t="s">
        <v>1552</v>
      </c>
      <c r="Q542" s="6" t="s">
        <v>308</v>
      </c>
      <c r="S542" s="7">
        <v>0.83626984230261803</v>
      </c>
      <c r="T542" s="7">
        <v>79.313492115130899</v>
      </c>
      <c r="U542" s="7">
        <v>83.313492115130899</v>
      </c>
      <c r="V542" s="7">
        <v>86.253968460523595</v>
      </c>
    </row>
    <row r="543" spans="1:22" hidden="1" x14ac:dyDescent="0.3">
      <c r="A543" s="5">
        <v>897584</v>
      </c>
      <c r="B543" s="5" t="s">
        <v>1553</v>
      </c>
      <c r="C543" s="5" t="s">
        <v>1065</v>
      </c>
      <c r="D543" s="5" t="s">
        <v>1554</v>
      </c>
      <c r="E543" s="5" t="s">
        <v>1555</v>
      </c>
      <c r="G543" s="19" t="b">
        <f t="shared" si="8"/>
        <v>0</v>
      </c>
      <c r="H543" s="19" t="b">
        <f>AND(J543&lt;&gt;"", T543&gt;75)</f>
        <v>1</v>
      </c>
      <c r="I543" s="6">
        <v>336384</v>
      </c>
      <c r="J543" s="11" t="s">
        <v>1554</v>
      </c>
      <c r="K543" s="6" t="s">
        <v>308</v>
      </c>
      <c r="L543" s="13">
        <v>786189104806</v>
      </c>
      <c r="M543" s="6">
        <v>39121321</v>
      </c>
      <c r="N543" s="6" t="s">
        <v>1555</v>
      </c>
      <c r="O543" s="6">
        <v>256444</v>
      </c>
      <c r="P543" s="6" t="s">
        <v>1553</v>
      </c>
      <c r="Q543" s="6" t="s">
        <v>308</v>
      </c>
      <c r="S543" s="8">
        <v>0.99998736615301398</v>
      </c>
      <c r="T543" s="8">
        <v>87.499368307650698</v>
      </c>
      <c r="U543" s="8">
        <v>91.499368307650698</v>
      </c>
      <c r="V543" s="7">
        <v>100</v>
      </c>
    </row>
    <row r="544" spans="1:22" hidden="1" x14ac:dyDescent="0.3">
      <c r="A544" s="5">
        <v>897585</v>
      </c>
      <c r="B544" s="5" t="s">
        <v>1447</v>
      </c>
      <c r="C544" s="5" t="s">
        <v>1065</v>
      </c>
      <c r="D544" s="5" t="s">
        <v>714</v>
      </c>
      <c r="E544" s="5" t="s">
        <v>715</v>
      </c>
      <c r="G544" s="19" t="b">
        <f t="shared" si="8"/>
        <v>0</v>
      </c>
      <c r="H544" s="19" t="b">
        <f>AND(J544&lt;&gt;"", T544&gt;75)</f>
        <v>1</v>
      </c>
      <c r="I544" s="6">
        <v>336383</v>
      </c>
      <c r="J544" s="11" t="s">
        <v>714</v>
      </c>
      <c r="K544" s="6" t="s">
        <v>308</v>
      </c>
      <c r="L544" s="13">
        <v>786189104721</v>
      </c>
      <c r="M544" s="6">
        <v>39121304</v>
      </c>
      <c r="N544" s="6" t="s">
        <v>715</v>
      </c>
      <c r="O544" s="6">
        <v>256437</v>
      </c>
      <c r="P544" s="6" t="s">
        <v>1447</v>
      </c>
      <c r="Q544" s="6" t="s">
        <v>308</v>
      </c>
      <c r="S544" s="8">
        <v>0.99999895439610098</v>
      </c>
      <c r="T544" s="8">
        <v>87.499947719804993</v>
      </c>
      <c r="U544" s="8">
        <v>91.499947719804993</v>
      </c>
      <c r="V544" s="7">
        <v>100</v>
      </c>
    </row>
    <row r="545" spans="1:22" x14ac:dyDescent="0.3">
      <c r="A545" s="5">
        <v>897587</v>
      </c>
      <c r="B545" s="5" t="s">
        <v>1556</v>
      </c>
      <c r="C545" s="5" t="s">
        <v>1557</v>
      </c>
      <c r="D545" s="5" t="s">
        <v>1558</v>
      </c>
      <c r="E545" s="5" t="s">
        <v>1559</v>
      </c>
      <c r="G545" s="19" t="b">
        <f t="shared" si="8"/>
        <v>0</v>
      </c>
      <c r="H545" s="19" t="b">
        <f>AND(J545&lt;&gt;"", T545&gt;75)</f>
        <v>0</v>
      </c>
      <c r="J545" s="6"/>
    </row>
    <row r="546" spans="1:22" x14ac:dyDescent="0.3">
      <c r="A546" s="5">
        <v>897588</v>
      </c>
      <c r="B546" s="5" t="s">
        <v>1560</v>
      </c>
      <c r="C546" s="5" t="s">
        <v>1557</v>
      </c>
      <c r="D546" s="5" t="s">
        <v>1561</v>
      </c>
      <c r="E546" s="5" t="s">
        <v>1562</v>
      </c>
      <c r="G546" s="19" t="b">
        <f t="shared" si="8"/>
        <v>0</v>
      </c>
      <c r="H546" s="19" t="b">
        <f>AND(J546&lt;&gt;"", T546&gt;75)</f>
        <v>0</v>
      </c>
      <c r="J546" s="6"/>
    </row>
    <row r="547" spans="1:22" hidden="1" x14ac:dyDescent="0.3">
      <c r="A547" s="5">
        <v>897589</v>
      </c>
      <c r="B547" s="5" t="s">
        <v>1563</v>
      </c>
      <c r="C547" s="5" t="s">
        <v>179</v>
      </c>
      <c r="D547" s="5" t="s">
        <v>1564</v>
      </c>
      <c r="E547" s="5" t="s">
        <v>1565</v>
      </c>
      <c r="G547" s="19" t="b">
        <f t="shared" si="8"/>
        <v>0</v>
      </c>
      <c r="H547" s="19" t="b">
        <f>AND(J547&lt;&gt;"", T547&gt;75)</f>
        <v>1</v>
      </c>
      <c r="I547" s="6">
        <v>313092</v>
      </c>
      <c r="J547" s="11" t="s">
        <v>1566</v>
      </c>
      <c r="K547" s="6" t="s">
        <v>593</v>
      </c>
      <c r="L547" s="14" t="s">
        <v>1567</v>
      </c>
      <c r="M547" s="6">
        <v>40183006</v>
      </c>
      <c r="O547" s="6">
        <v>6092</v>
      </c>
      <c r="P547" s="6" t="s">
        <v>1568</v>
      </c>
      <c r="Q547" s="6" t="s">
        <v>593</v>
      </c>
      <c r="S547" s="8">
        <v>0.80088806407305502</v>
      </c>
      <c r="T547" s="8">
        <v>97.544403203652706</v>
      </c>
      <c r="U547" s="8">
        <v>93.544403203652706</v>
      </c>
      <c r="V547" s="8">
        <v>91.177612814610995</v>
      </c>
    </row>
    <row r="548" spans="1:22" x14ac:dyDescent="0.3">
      <c r="A548" s="5">
        <v>897590</v>
      </c>
      <c r="B548" s="5" t="s">
        <v>1569</v>
      </c>
      <c r="C548" s="5" t="s">
        <v>1557</v>
      </c>
      <c r="D548" s="5" t="s">
        <v>1570</v>
      </c>
      <c r="E548" s="5" t="s">
        <v>1571</v>
      </c>
      <c r="G548" s="19" t="b">
        <f t="shared" si="8"/>
        <v>0</v>
      </c>
      <c r="H548" s="19" t="b">
        <f>AND(J548&lt;&gt;"", T548&gt;75)</f>
        <v>0</v>
      </c>
      <c r="J548" s="6"/>
    </row>
    <row r="549" spans="1:22" x14ac:dyDescent="0.3">
      <c r="A549" s="5">
        <v>897591</v>
      </c>
      <c r="B549" s="5" t="s">
        <v>1572</v>
      </c>
      <c r="C549" s="5" t="s">
        <v>1119</v>
      </c>
      <c r="D549" s="5" t="s">
        <v>1573</v>
      </c>
      <c r="E549" s="5" t="s">
        <v>1574</v>
      </c>
      <c r="G549" s="19" t="b">
        <f t="shared" si="8"/>
        <v>1</v>
      </c>
      <c r="H549" s="19" t="b">
        <f>AND(J549&lt;&gt;"", T549&gt;75)</f>
        <v>0</v>
      </c>
      <c r="J549" s="6"/>
      <c r="Q549" s="6" t="s">
        <v>618</v>
      </c>
      <c r="R549" s="6" t="s">
        <v>1119</v>
      </c>
      <c r="U549" s="7">
        <v>60</v>
      </c>
    </row>
    <row r="550" spans="1:22" x14ac:dyDescent="0.3">
      <c r="A550" s="5">
        <v>897592</v>
      </c>
      <c r="B550" s="5" t="s">
        <v>1575</v>
      </c>
      <c r="C550" s="5" t="s">
        <v>179</v>
      </c>
      <c r="D550" s="5" t="s">
        <v>1576</v>
      </c>
      <c r="E550" s="5" t="s">
        <v>1577</v>
      </c>
      <c r="G550" s="19" t="b">
        <f t="shared" si="8"/>
        <v>0</v>
      </c>
      <c r="H550" s="19" t="b">
        <f>AND(J550&lt;&gt;"", T550&gt;75)</f>
        <v>0</v>
      </c>
      <c r="J550" s="6"/>
    </row>
    <row r="551" spans="1:22" hidden="1" x14ac:dyDescent="0.3">
      <c r="A551" s="5">
        <v>897593</v>
      </c>
      <c r="B551" s="5" t="s">
        <v>1578</v>
      </c>
      <c r="C551" s="5" t="s">
        <v>179</v>
      </c>
      <c r="D551" s="5" t="s">
        <v>1579</v>
      </c>
      <c r="E551" s="5" t="s">
        <v>1580</v>
      </c>
      <c r="G551" s="19" t="b">
        <f t="shared" si="8"/>
        <v>0</v>
      </c>
      <c r="H551" s="19" t="b">
        <f>AND(J551&lt;&gt;"", T551&gt;75)</f>
        <v>1</v>
      </c>
      <c r="I551" s="6">
        <v>341161</v>
      </c>
      <c r="J551" s="11" t="s">
        <v>1581</v>
      </c>
      <c r="K551" s="6" t="s">
        <v>593</v>
      </c>
      <c r="L551" s="14" t="s">
        <v>1582</v>
      </c>
      <c r="M551" s="6">
        <v>39121703</v>
      </c>
      <c r="N551" s="6" t="s">
        <v>1580</v>
      </c>
      <c r="O551" s="6">
        <v>265544</v>
      </c>
      <c r="P551" s="6" t="s">
        <v>1583</v>
      </c>
      <c r="Q551" s="6" t="s">
        <v>593</v>
      </c>
      <c r="S551" s="8">
        <v>0.95354401354824303</v>
      </c>
      <c r="T551" s="7">
        <v>100</v>
      </c>
      <c r="U551" s="8">
        <v>98.177200677412102</v>
      </c>
      <c r="V551" s="7">
        <v>100</v>
      </c>
    </row>
    <row r="552" spans="1:22" hidden="1" x14ac:dyDescent="0.3">
      <c r="A552" s="5">
        <v>897594</v>
      </c>
      <c r="B552" s="5" t="s">
        <v>1584</v>
      </c>
      <c r="C552" s="5" t="s">
        <v>1017</v>
      </c>
      <c r="D552" s="5" t="s">
        <v>1585</v>
      </c>
      <c r="E552" s="5" t="s">
        <v>1586</v>
      </c>
      <c r="G552" s="19" t="b">
        <f t="shared" si="8"/>
        <v>0</v>
      </c>
      <c r="H552" s="19" t="b">
        <f>AND(J552&lt;&gt;"", T552&gt;75)</f>
        <v>1</v>
      </c>
      <c r="I552" s="6">
        <v>337203</v>
      </c>
      <c r="J552" s="11" t="s">
        <v>1585</v>
      </c>
      <c r="K552" s="6" t="s">
        <v>112</v>
      </c>
      <c r="L552" s="13">
        <v>781011611033</v>
      </c>
      <c r="M552" s="6">
        <v>39121701</v>
      </c>
      <c r="N552" s="6" t="s">
        <v>1586</v>
      </c>
      <c r="O552" s="6">
        <v>253267</v>
      </c>
      <c r="P552" s="6" t="s">
        <v>1587</v>
      </c>
      <c r="Q552" s="6" t="s">
        <v>42</v>
      </c>
      <c r="S552" s="8">
        <v>0.99428638169931205</v>
      </c>
      <c r="T552" s="8">
        <v>97.214319084965595</v>
      </c>
      <c r="U552" s="8">
        <v>97.214319084965595</v>
      </c>
      <c r="V552" s="7">
        <v>100</v>
      </c>
    </row>
    <row r="553" spans="1:22" x14ac:dyDescent="0.3">
      <c r="A553" s="5">
        <v>897595</v>
      </c>
      <c r="B553" s="5" t="s">
        <v>1588</v>
      </c>
      <c r="C553" s="5" t="s">
        <v>1589</v>
      </c>
      <c r="D553" s="5" t="s">
        <v>1590</v>
      </c>
      <c r="E553" s="5" t="s">
        <v>1591</v>
      </c>
      <c r="G553" s="19" t="b">
        <f t="shared" si="8"/>
        <v>0</v>
      </c>
      <c r="H553" s="19" t="b">
        <f>AND(J553&lt;&gt;"", T553&gt;75)</f>
        <v>0</v>
      </c>
      <c r="J553" s="6"/>
    </row>
    <row r="554" spans="1:22" x14ac:dyDescent="0.3">
      <c r="A554" s="5">
        <v>897597</v>
      </c>
      <c r="B554" s="5" t="s">
        <v>1592</v>
      </c>
      <c r="C554" s="5" t="s">
        <v>1072</v>
      </c>
      <c r="D554" s="5" t="s">
        <v>1593</v>
      </c>
      <c r="G554" s="19" t="b">
        <f t="shared" si="8"/>
        <v>1</v>
      </c>
      <c r="H554" s="19" t="b">
        <f>AND(J554&lt;&gt;"", T554&gt;75)</f>
        <v>0</v>
      </c>
      <c r="J554" s="6"/>
      <c r="Q554" s="6" t="s">
        <v>1594</v>
      </c>
      <c r="R554" s="6" t="s">
        <v>1595</v>
      </c>
      <c r="U554" s="7">
        <v>50</v>
      </c>
    </row>
    <row r="555" spans="1:22" hidden="1" x14ac:dyDescent="0.3">
      <c r="A555" s="5">
        <v>897598</v>
      </c>
      <c r="B555" s="5" t="s">
        <v>1136</v>
      </c>
      <c r="C555" s="5" t="s">
        <v>1134</v>
      </c>
      <c r="D555" s="5" t="s">
        <v>1137</v>
      </c>
      <c r="E555" s="5" t="s">
        <v>1138</v>
      </c>
      <c r="G555" s="19" t="b">
        <f t="shared" si="8"/>
        <v>0</v>
      </c>
      <c r="H555" s="19" t="b">
        <f>AND(J555&lt;&gt;"", T555&gt;75)</f>
        <v>0</v>
      </c>
      <c r="I555" s="6">
        <v>338858</v>
      </c>
      <c r="J555" s="6">
        <v>64578</v>
      </c>
      <c r="K555" s="6" t="s">
        <v>65</v>
      </c>
      <c r="L555" s="13">
        <v>783310056959</v>
      </c>
      <c r="M555" s="6">
        <v>23241638</v>
      </c>
      <c r="N555" s="6" t="s">
        <v>1138</v>
      </c>
      <c r="O555" s="6">
        <v>258967</v>
      </c>
      <c r="P555" s="6" t="s">
        <v>1139</v>
      </c>
      <c r="Q555" s="6" t="s">
        <v>65</v>
      </c>
      <c r="S555" s="7">
        <v>0.92085590544708396</v>
      </c>
      <c r="T555" s="8">
        <v>34.933084276692398</v>
      </c>
      <c r="U555" s="8">
        <v>32.529106402784898</v>
      </c>
      <c r="V555" s="8">
        <v>91.905989495580499</v>
      </c>
    </row>
    <row r="556" spans="1:22" x14ac:dyDescent="0.3">
      <c r="A556" s="5">
        <v>897599</v>
      </c>
      <c r="B556" s="5" t="s">
        <v>1596</v>
      </c>
      <c r="C556" s="5" t="s">
        <v>1025</v>
      </c>
      <c r="D556" s="5" t="s">
        <v>1597</v>
      </c>
      <c r="E556" s="5" t="s">
        <v>1598</v>
      </c>
      <c r="G556" s="19" t="b">
        <f t="shared" si="8"/>
        <v>1</v>
      </c>
      <c r="H556" s="19" t="b">
        <f>AND(J556&lt;&gt;"", T556&gt;75)</f>
        <v>0</v>
      </c>
      <c r="J556" s="6"/>
      <c r="Q556" s="6" t="s">
        <v>540</v>
      </c>
      <c r="R556" s="6" t="s">
        <v>1025</v>
      </c>
      <c r="U556" s="7">
        <v>60</v>
      </c>
    </row>
    <row r="557" spans="1:22" x14ac:dyDescent="0.3">
      <c r="A557" s="5">
        <v>897600</v>
      </c>
      <c r="B557" s="5" t="s">
        <v>1599</v>
      </c>
      <c r="C557" s="5" t="s">
        <v>1119</v>
      </c>
      <c r="E557" s="5" t="s">
        <v>1600</v>
      </c>
      <c r="G557" s="19" t="b">
        <f t="shared" si="8"/>
        <v>1</v>
      </c>
      <c r="H557" s="19" t="b">
        <f>AND(J557&lt;&gt;"", T557&gt;75)</f>
        <v>0</v>
      </c>
      <c r="J557" s="6"/>
      <c r="Q557" s="6" t="s">
        <v>618</v>
      </c>
      <c r="R557" s="6" t="s">
        <v>1119</v>
      </c>
      <c r="U557" s="7">
        <v>60</v>
      </c>
    </row>
    <row r="558" spans="1:22" x14ac:dyDescent="0.3">
      <c r="A558" s="5">
        <v>897601</v>
      </c>
      <c r="B558" s="5" t="s">
        <v>1601</v>
      </c>
      <c r="C558" s="5" t="s">
        <v>1602</v>
      </c>
      <c r="D558" s="5" t="s">
        <v>1603</v>
      </c>
      <c r="G558" s="19" t="b">
        <f t="shared" si="8"/>
        <v>0</v>
      </c>
      <c r="H558" s="19" t="b">
        <f>AND(J558&lt;&gt;"", T558&gt;75)</f>
        <v>0</v>
      </c>
      <c r="J558" s="6"/>
    </row>
    <row r="559" spans="1:22" x14ac:dyDescent="0.3">
      <c r="A559" s="5">
        <v>897603</v>
      </c>
      <c r="B559" s="5" t="s">
        <v>1604</v>
      </c>
      <c r="C559" s="5" t="s">
        <v>1344</v>
      </c>
      <c r="D559" s="5" t="s">
        <v>1605</v>
      </c>
      <c r="E559" s="5" t="s">
        <v>1606</v>
      </c>
      <c r="G559" s="19" t="b">
        <f t="shared" si="8"/>
        <v>0</v>
      </c>
      <c r="H559" s="19" t="b">
        <f>AND(J559&lt;&gt;"", T559&gt;75)</f>
        <v>0</v>
      </c>
      <c r="J559" s="6"/>
    </row>
    <row r="560" spans="1:22" x14ac:dyDescent="0.3">
      <c r="A560" s="5">
        <v>897604</v>
      </c>
      <c r="B560" s="5" t="s">
        <v>1607</v>
      </c>
      <c r="C560" s="5" t="s">
        <v>1189</v>
      </c>
      <c r="D560" s="5" t="s">
        <v>1608</v>
      </c>
      <c r="E560" s="5" t="s">
        <v>1609</v>
      </c>
      <c r="G560" s="19" t="b">
        <f t="shared" si="8"/>
        <v>1</v>
      </c>
      <c r="H560" s="19" t="b">
        <f>AND(J560&lt;&gt;"", T560&gt;75)</f>
        <v>0</v>
      </c>
      <c r="J560" s="6"/>
      <c r="Q560" s="6" t="s">
        <v>376</v>
      </c>
      <c r="R560" s="6" t="s">
        <v>1189</v>
      </c>
      <c r="U560" s="7">
        <v>60</v>
      </c>
    </row>
    <row r="561" spans="1:22" x14ac:dyDescent="0.3">
      <c r="A561" s="5">
        <v>897605</v>
      </c>
      <c r="B561" s="5" t="s">
        <v>1610</v>
      </c>
      <c r="C561" s="5" t="s">
        <v>1398</v>
      </c>
      <c r="D561" s="5" t="s">
        <v>1611</v>
      </c>
      <c r="G561" s="19" t="b">
        <f t="shared" si="8"/>
        <v>0</v>
      </c>
      <c r="H561" s="19" t="b">
        <f>AND(J561&lt;&gt;"", T561&gt;75)</f>
        <v>0</v>
      </c>
      <c r="J561" s="6"/>
    </row>
    <row r="562" spans="1:22" x14ac:dyDescent="0.3">
      <c r="A562" s="5">
        <v>897606</v>
      </c>
      <c r="B562" s="5" t="s">
        <v>1397</v>
      </c>
      <c r="C562" s="5" t="s">
        <v>1398</v>
      </c>
      <c r="D562" s="5" t="s">
        <v>1399</v>
      </c>
      <c r="G562" s="19" t="b">
        <f t="shared" si="8"/>
        <v>0</v>
      </c>
      <c r="H562" s="19" t="b">
        <f>AND(J562&lt;&gt;"", T562&gt;75)</f>
        <v>0</v>
      </c>
      <c r="J562" s="6"/>
    </row>
    <row r="563" spans="1:22" x14ac:dyDescent="0.3">
      <c r="A563" s="5">
        <v>897607</v>
      </c>
      <c r="B563" s="5" t="s">
        <v>1612</v>
      </c>
      <c r="C563" s="5" t="s">
        <v>1398</v>
      </c>
      <c r="D563" s="5" t="s">
        <v>1613</v>
      </c>
      <c r="G563" s="19" t="b">
        <f t="shared" si="8"/>
        <v>0</v>
      </c>
      <c r="H563" s="19" t="b">
        <f>AND(J563&lt;&gt;"", T563&gt;75)</f>
        <v>0</v>
      </c>
      <c r="J563" s="6"/>
    </row>
    <row r="564" spans="1:22" x14ac:dyDescent="0.3">
      <c r="A564" s="5">
        <v>897608</v>
      </c>
      <c r="B564" s="5" t="s">
        <v>1614</v>
      </c>
      <c r="C564" s="5" t="s">
        <v>1398</v>
      </c>
      <c r="D564" s="5" t="s">
        <v>1615</v>
      </c>
      <c r="G564" s="19" t="b">
        <f t="shared" si="8"/>
        <v>0</v>
      </c>
      <c r="H564" s="19" t="b">
        <f>AND(J564&lt;&gt;"", T564&gt;75)</f>
        <v>0</v>
      </c>
      <c r="J564" s="6"/>
    </row>
    <row r="565" spans="1:22" x14ac:dyDescent="0.3">
      <c r="A565" s="5">
        <v>897609</v>
      </c>
      <c r="B565" s="5" t="s">
        <v>1616</v>
      </c>
      <c r="C565" s="5" t="s">
        <v>1398</v>
      </c>
      <c r="D565" s="5" t="s">
        <v>1611</v>
      </c>
      <c r="G565" s="19" t="b">
        <f t="shared" si="8"/>
        <v>0</v>
      </c>
      <c r="H565" s="19" t="b">
        <f>AND(J565&lt;&gt;"", T565&gt;75)</f>
        <v>0</v>
      </c>
      <c r="J565" s="6"/>
    </row>
    <row r="566" spans="1:22" x14ac:dyDescent="0.3">
      <c r="A566" s="5">
        <v>897611</v>
      </c>
      <c r="B566" s="5" t="e">
        <f>- SPODMA D WH</f>
        <v>#NAME?</v>
      </c>
      <c r="G566" s="19" t="b">
        <f t="shared" si="8"/>
        <v>0</v>
      </c>
      <c r="H566" s="19" t="b">
        <f>AND(J566&lt;&gt;"", T566&gt;75)</f>
        <v>0</v>
      </c>
      <c r="J566" s="6"/>
    </row>
    <row r="567" spans="1:22" x14ac:dyDescent="0.3">
      <c r="A567" s="5">
        <v>897612</v>
      </c>
      <c r="B567" s="5" t="s">
        <v>1617</v>
      </c>
      <c r="C567" s="5" t="s">
        <v>1557</v>
      </c>
      <c r="D567" s="5" t="s">
        <v>1618</v>
      </c>
      <c r="E567" s="5" t="s">
        <v>1619</v>
      </c>
      <c r="G567" s="19" t="b">
        <f t="shared" si="8"/>
        <v>1</v>
      </c>
      <c r="H567" s="19" t="b">
        <f>AND(J567&lt;&gt;"", T567&gt;75)</f>
        <v>0</v>
      </c>
      <c r="J567" s="6"/>
      <c r="Q567" s="6" t="s">
        <v>39</v>
      </c>
      <c r="R567" s="6" t="s">
        <v>126</v>
      </c>
      <c r="U567" s="7">
        <v>60</v>
      </c>
    </row>
    <row r="568" spans="1:22" x14ac:dyDescent="0.3">
      <c r="A568" s="5">
        <v>897613</v>
      </c>
      <c r="B568" s="5" t="s">
        <v>1620</v>
      </c>
      <c r="C568" s="5" t="s">
        <v>1557</v>
      </c>
      <c r="D568" s="5" t="s">
        <v>1621</v>
      </c>
      <c r="E568" s="5" t="s">
        <v>1622</v>
      </c>
      <c r="G568" s="19" t="b">
        <f t="shared" si="8"/>
        <v>1</v>
      </c>
      <c r="H568" s="19" t="b">
        <f>AND(J568&lt;&gt;"", T568&gt;75)</f>
        <v>0</v>
      </c>
      <c r="J568" s="6"/>
      <c r="Q568" s="6" t="s">
        <v>39</v>
      </c>
      <c r="R568" s="6" t="s">
        <v>126</v>
      </c>
      <c r="U568" s="7">
        <v>60</v>
      </c>
    </row>
    <row r="569" spans="1:22" x14ac:dyDescent="0.3">
      <c r="A569" s="5">
        <v>897614</v>
      </c>
      <c r="B569" s="5" t="s">
        <v>1623</v>
      </c>
      <c r="C569" s="5" t="s">
        <v>1557</v>
      </c>
      <c r="D569" s="5" t="s">
        <v>1624</v>
      </c>
      <c r="E569" s="5" t="s">
        <v>1625</v>
      </c>
      <c r="G569" s="19" t="b">
        <f t="shared" si="8"/>
        <v>1</v>
      </c>
      <c r="H569" s="19" t="b">
        <f>AND(J569&lt;&gt;"", T569&gt;75)</f>
        <v>0</v>
      </c>
      <c r="J569" s="6"/>
      <c r="Q569" s="6" t="s">
        <v>39</v>
      </c>
      <c r="R569" s="6" t="s">
        <v>126</v>
      </c>
      <c r="U569" s="7">
        <v>60</v>
      </c>
    </row>
    <row r="570" spans="1:22" x14ac:dyDescent="0.3">
      <c r="A570" s="5">
        <v>897615</v>
      </c>
      <c r="B570" s="5" t="s">
        <v>1626</v>
      </c>
      <c r="C570" s="5" t="s">
        <v>1557</v>
      </c>
      <c r="D570" s="5" t="s">
        <v>1627</v>
      </c>
      <c r="E570" s="5" t="s">
        <v>1628</v>
      </c>
      <c r="G570" s="19" t="b">
        <f t="shared" si="8"/>
        <v>1</v>
      </c>
      <c r="H570" s="19" t="b">
        <f>AND(J570&lt;&gt;"", T570&gt;75)</f>
        <v>0</v>
      </c>
      <c r="J570" s="6"/>
      <c r="Q570" s="6" t="s">
        <v>39</v>
      </c>
      <c r="R570" s="6" t="s">
        <v>126</v>
      </c>
      <c r="U570" s="7">
        <v>60</v>
      </c>
    </row>
    <row r="571" spans="1:22" x14ac:dyDescent="0.3">
      <c r="A571" s="5">
        <v>897616</v>
      </c>
      <c r="B571" s="5" t="s">
        <v>1629</v>
      </c>
      <c r="C571" s="5" t="s">
        <v>1557</v>
      </c>
      <c r="D571" s="5" t="s">
        <v>1630</v>
      </c>
      <c r="E571" s="5" t="s">
        <v>1631</v>
      </c>
      <c r="G571" s="19" t="b">
        <f t="shared" si="8"/>
        <v>1</v>
      </c>
      <c r="H571" s="19" t="b">
        <f>AND(J571&lt;&gt;"", T571&gt;75)</f>
        <v>0</v>
      </c>
      <c r="J571" s="6"/>
      <c r="Q571" s="6" t="s">
        <v>39</v>
      </c>
      <c r="R571" s="6" t="s">
        <v>126</v>
      </c>
      <c r="U571" s="7">
        <v>60</v>
      </c>
    </row>
    <row r="572" spans="1:22" x14ac:dyDescent="0.3">
      <c r="A572" s="5">
        <v>897617</v>
      </c>
      <c r="B572" s="5" t="s">
        <v>1632</v>
      </c>
      <c r="C572" s="5" t="s">
        <v>1557</v>
      </c>
      <c r="D572" s="5" t="s">
        <v>1633</v>
      </c>
      <c r="E572" s="5" t="s">
        <v>1634</v>
      </c>
      <c r="G572" s="19" t="b">
        <f t="shared" si="8"/>
        <v>1</v>
      </c>
      <c r="H572" s="19" t="b">
        <f>AND(J572&lt;&gt;"", T572&gt;75)</f>
        <v>0</v>
      </c>
      <c r="J572" s="6"/>
      <c r="Q572" s="6" t="s">
        <v>39</v>
      </c>
      <c r="R572" s="6" t="s">
        <v>126</v>
      </c>
      <c r="U572" s="7">
        <v>60</v>
      </c>
    </row>
    <row r="573" spans="1:22" hidden="1" x14ac:dyDescent="0.3">
      <c r="A573" s="5">
        <v>897618</v>
      </c>
      <c r="B573" s="5" t="s">
        <v>1635</v>
      </c>
      <c r="C573" s="5" t="s">
        <v>1189</v>
      </c>
      <c r="D573" s="5" t="s">
        <v>1636</v>
      </c>
      <c r="E573" s="5" t="s">
        <v>1637</v>
      </c>
      <c r="G573" s="19" t="b">
        <f t="shared" si="8"/>
        <v>1</v>
      </c>
      <c r="H573" s="19" t="b">
        <f>AND(J573&lt;&gt;"", T573&gt;75)</f>
        <v>1</v>
      </c>
      <c r="I573" s="6">
        <v>337523</v>
      </c>
      <c r="J573" s="11" t="s">
        <v>1636</v>
      </c>
      <c r="K573" s="6" t="s">
        <v>376</v>
      </c>
      <c r="L573" s="13">
        <v>781810221068</v>
      </c>
      <c r="M573" s="6">
        <v>39121613</v>
      </c>
      <c r="N573" s="6" t="s">
        <v>1637</v>
      </c>
      <c r="O573" s="6">
        <v>254782</v>
      </c>
      <c r="P573" s="6" t="s">
        <v>1635</v>
      </c>
      <c r="Q573" s="6" t="s">
        <v>376</v>
      </c>
      <c r="R573" s="6" t="s">
        <v>1189</v>
      </c>
      <c r="S573" s="8">
        <v>0.99705341599862296</v>
      </c>
      <c r="T573" s="7">
        <v>100</v>
      </c>
      <c r="U573" s="7">
        <v>100</v>
      </c>
      <c r="V573" s="7">
        <v>100</v>
      </c>
    </row>
    <row r="574" spans="1:22" hidden="1" x14ac:dyDescent="0.3">
      <c r="A574" s="5">
        <v>897619</v>
      </c>
      <c r="B574" s="5" t="s">
        <v>1506</v>
      </c>
      <c r="C574" s="5" t="s">
        <v>1025</v>
      </c>
      <c r="D574" s="5">
        <v>84014</v>
      </c>
      <c r="E574" s="5" t="s">
        <v>1507</v>
      </c>
      <c r="G574" s="19" t="b">
        <f t="shared" si="8"/>
        <v>1</v>
      </c>
      <c r="H574" s="19" t="b">
        <f>AND(J574&lt;&gt;"", T574&gt;75)</f>
        <v>1</v>
      </c>
      <c r="I574" s="6">
        <v>336214</v>
      </c>
      <c r="J574" s="11">
        <v>84014</v>
      </c>
      <c r="K574" s="6" t="s">
        <v>540</v>
      </c>
      <c r="L574" s="14" t="s">
        <v>1508</v>
      </c>
      <c r="M574" s="6">
        <v>39121704</v>
      </c>
      <c r="N574" s="6" t="s">
        <v>1507</v>
      </c>
      <c r="O574" s="6">
        <v>262596</v>
      </c>
      <c r="P574" s="6" t="s">
        <v>1506</v>
      </c>
      <c r="Q574" s="6" t="s">
        <v>540</v>
      </c>
      <c r="R574" s="6" t="s">
        <v>1025</v>
      </c>
      <c r="S574" s="8">
        <v>0.99999905791167498</v>
      </c>
      <c r="T574" s="7">
        <v>100</v>
      </c>
      <c r="U574" s="7">
        <v>100</v>
      </c>
      <c r="V574" s="7">
        <v>100</v>
      </c>
    </row>
    <row r="575" spans="1:22" hidden="1" x14ac:dyDescent="0.3">
      <c r="A575" s="5">
        <v>897620</v>
      </c>
      <c r="B575" s="5" t="s">
        <v>1638</v>
      </c>
      <c r="C575" s="5" t="s">
        <v>1025</v>
      </c>
      <c r="D575" s="5" t="s">
        <v>1639</v>
      </c>
      <c r="E575" s="5" t="s">
        <v>1640</v>
      </c>
      <c r="G575" s="19" t="b">
        <f t="shared" si="8"/>
        <v>1</v>
      </c>
      <c r="H575" s="19" t="b">
        <f>AND(J575&lt;&gt;"", T575&gt;75)</f>
        <v>0</v>
      </c>
      <c r="I575" s="6">
        <v>336705</v>
      </c>
      <c r="J575" s="6" t="s">
        <v>1641</v>
      </c>
      <c r="K575" s="6" t="s">
        <v>540</v>
      </c>
      <c r="L575" s="14" t="s">
        <v>1642</v>
      </c>
      <c r="M575" s="6">
        <v>39121704</v>
      </c>
      <c r="N575" s="6" t="s">
        <v>1640</v>
      </c>
      <c r="O575" s="6">
        <v>262555</v>
      </c>
      <c r="P575" s="6" t="s">
        <v>1643</v>
      </c>
      <c r="Q575" s="6" t="s">
        <v>540</v>
      </c>
      <c r="R575" s="6" t="s">
        <v>1025</v>
      </c>
      <c r="S575" s="8">
        <v>0.98216930868508601</v>
      </c>
      <c r="T575" s="8">
        <v>12.2863676135704</v>
      </c>
      <c r="U575" s="7">
        <v>100</v>
      </c>
      <c r="V575" s="7">
        <v>100</v>
      </c>
    </row>
    <row r="576" spans="1:22" x14ac:dyDescent="0.3">
      <c r="A576" s="5">
        <v>897621</v>
      </c>
      <c r="B576" s="5" t="s">
        <v>1644</v>
      </c>
      <c r="C576" s="5" t="s">
        <v>1645</v>
      </c>
      <c r="D576" s="5" t="s">
        <v>1646</v>
      </c>
      <c r="E576" s="5" t="s">
        <v>1647</v>
      </c>
      <c r="G576" s="19" t="b">
        <f t="shared" si="8"/>
        <v>0</v>
      </c>
      <c r="H576" s="19" t="b">
        <f>AND(J576&lt;&gt;"", T576&gt;75)</f>
        <v>0</v>
      </c>
      <c r="J576" s="6"/>
    </row>
    <row r="577" spans="1:22" hidden="1" x14ac:dyDescent="0.3">
      <c r="A577" s="5">
        <v>897622</v>
      </c>
      <c r="B577" s="5" t="s">
        <v>1648</v>
      </c>
      <c r="C577" s="5" t="s">
        <v>1045</v>
      </c>
      <c r="D577" s="5" t="s">
        <v>1649</v>
      </c>
      <c r="E577" s="5" t="s">
        <v>1650</v>
      </c>
      <c r="G577" s="19" t="b">
        <f t="shared" si="8"/>
        <v>0</v>
      </c>
      <c r="H577" s="19" t="b">
        <f>AND(J577&lt;&gt;"", T577&gt;75)</f>
        <v>1</v>
      </c>
      <c r="I577" s="6">
        <v>339123</v>
      </c>
      <c r="J577" s="11" t="s">
        <v>1649</v>
      </c>
      <c r="K577" s="6" t="s">
        <v>303</v>
      </c>
      <c r="L577" s="13">
        <v>783510526306</v>
      </c>
      <c r="M577" s="6">
        <v>39131710</v>
      </c>
      <c r="N577" s="6" t="s">
        <v>1650</v>
      </c>
      <c r="O577" s="6">
        <v>259641</v>
      </c>
      <c r="P577" s="6" t="s">
        <v>1648</v>
      </c>
      <c r="Q577" s="6" t="s">
        <v>303</v>
      </c>
      <c r="S577" s="8">
        <v>0.99999907284186396</v>
      </c>
      <c r="T577" s="7">
        <v>92.499953642093203</v>
      </c>
      <c r="U577" s="7">
        <v>94.499953642093203</v>
      </c>
      <c r="V577" s="7">
        <v>100</v>
      </c>
    </row>
    <row r="578" spans="1:22" x14ac:dyDescent="0.3">
      <c r="A578" s="5">
        <v>897623</v>
      </c>
      <c r="B578" s="5" t="s">
        <v>1651</v>
      </c>
      <c r="C578" s="5" t="s">
        <v>1645</v>
      </c>
      <c r="D578" s="5" t="s">
        <v>1646</v>
      </c>
      <c r="E578" s="5" t="s">
        <v>1647</v>
      </c>
      <c r="G578" s="19" t="b">
        <f t="shared" si="8"/>
        <v>0</v>
      </c>
      <c r="H578" s="19" t="b">
        <f>AND(J578&lt;&gt;"", T578&gt;75)</f>
        <v>0</v>
      </c>
      <c r="J578" s="6"/>
    </row>
    <row r="579" spans="1:22" hidden="1" x14ac:dyDescent="0.3">
      <c r="A579" s="5">
        <v>897624</v>
      </c>
      <c r="B579" s="5" t="s">
        <v>1652</v>
      </c>
      <c r="C579" s="5" t="s">
        <v>1653</v>
      </c>
      <c r="D579" s="5" t="s">
        <v>1654</v>
      </c>
      <c r="E579" s="5" t="s">
        <v>1655</v>
      </c>
      <c r="G579" s="19" t="b">
        <f t="shared" ref="G579:G642" si="9">(R579&lt;&gt;"")</f>
        <v>0</v>
      </c>
      <c r="H579" s="19" t="b">
        <f>AND(J579&lt;&gt;"", T579&gt;75)</f>
        <v>0</v>
      </c>
      <c r="I579" s="6">
        <v>191442</v>
      </c>
      <c r="J579" s="6" t="s">
        <v>1654</v>
      </c>
      <c r="K579" s="6" t="s">
        <v>1656</v>
      </c>
      <c r="L579" s="14" t="s">
        <v>1657</v>
      </c>
      <c r="M579" s="6">
        <v>39121617</v>
      </c>
      <c r="O579" s="6">
        <v>4635</v>
      </c>
      <c r="P579" s="6" t="s">
        <v>1658</v>
      </c>
      <c r="Q579" s="6" t="s">
        <v>1656</v>
      </c>
      <c r="S579" s="8">
        <v>0.64554883980615996</v>
      </c>
      <c r="T579" s="8">
        <v>74.777441990308006</v>
      </c>
      <c r="U579" s="8">
        <v>42.777441990307999</v>
      </c>
      <c r="V579" s="8">
        <v>47.109767961232002</v>
      </c>
    </row>
    <row r="580" spans="1:22" hidden="1" x14ac:dyDescent="0.3">
      <c r="A580" s="5">
        <v>897625</v>
      </c>
      <c r="B580" s="5" t="s">
        <v>1659</v>
      </c>
      <c r="C580" s="5" t="s">
        <v>1653</v>
      </c>
      <c r="D580" s="5" t="s">
        <v>1660</v>
      </c>
      <c r="E580" s="5" t="s">
        <v>1661</v>
      </c>
      <c r="G580" s="19" t="b">
        <f t="shared" si="9"/>
        <v>0</v>
      </c>
      <c r="H580" s="19" t="b">
        <f>AND(J580&lt;&gt;"", T580&gt;75)</f>
        <v>1</v>
      </c>
      <c r="I580" s="6">
        <v>338665</v>
      </c>
      <c r="J580" s="11" t="s">
        <v>1660</v>
      </c>
      <c r="K580" s="6" t="s">
        <v>1656</v>
      </c>
      <c r="L580" s="14" t="s">
        <v>1662</v>
      </c>
      <c r="M580" s="6">
        <v>39121604</v>
      </c>
      <c r="N580" s="6" t="s">
        <v>1661</v>
      </c>
      <c r="O580" s="6">
        <v>263101</v>
      </c>
      <c r="P580" s="6" t="s">
        <v>1663</v>
      </c>
      <c r="Q580" s="6" t="s">
        <v>1656</v>
      </c>
      <c r="S580" s="8">
        <v>0.95274246330753498</v>
      </c>
      <c r="T580" s="7">
        <v>100</v>
      </c>
      <c r="U580" s="8">
        <v>64.137123165376707</v>
      </c>
      <c r="V580" s="7">
        <v>100</v>
      </c>
    </row>
    <row r="581" spans="1:22" x14ac:dyDescent="0.3">
      <c r="A581" s="5">
        <v>897626</v>
      </c>
      <c r="B581" s="5" t="s">
        <v>1664</v>
      </c>
      <c r="C581" s="5" t="s">
        <v>1130</v>
      </c>
      <c r="D581" s="5" t="s">
        <v>1665</v>
      </c>
      <c r="G581" s="19" t="b">
        <f t="shared" si="9"/>
        <v>0</v>
      </c>
      <c r="H581" s="19" t="b">
        <f>AND(J581&lt;&gt;"", T581&gt;75)</f>
        <v>0</v>
      </c>
      <c r="J581" s="6"/>
    </row>
    <row r="582" spans="1:22" x14ac:dyDescent="0.3">
      <c r="A582" s="5">
        <v>897627</v>
      </c>
      <c r="B582" s="5" t="s">
        <v>1666</v>
      </c>
      <c r="C582" s="5" t="s">
        <v>1119</v>
      </c>
      <c r="D582" s="5" t="s">
        <v>1667</v>
      </c>
      <c r="G582" s="19" t="b">
        <f t="shared" si="9"/>
        <v>1</v>
      </c>
      <c r="H582" s="19" t="b">
        <f>AND(J582&lt;&gt;"", T582&gt;75)</f>
        <v>0</v>
      </c>
      <c r="J582" s="6"/>
      <c r="Q582" s="6" t="s">
        <v>618</v>
      </c>
      <c r="R582" s="6" t="s">
        <v>1119</v>
      </c>
      <c r="U582" s="7">
        <v>60</v>
      </c>
    </row>
    <row r="583" spans="1:22" hidden="1" x14ac:dyDescent="0.3">
      <c r="A583" s="5">
        <v>897628</v>
      </c>
      <c r="B583" s="5" t="s">
        <v>1668</v>
      </c>
      <c r="C583" s="5" t="s">
        <v>179</v>
      </c>
      <c r="D583" s="5" t="s">
        <v>1669</v>
      </c>
      <c r="G583" s="19" t="b">
        <f t="shared" si="9"/>
        <v>0</v>
      </c>
      <c r="H583" s="19" t="b">
        <f>AND(J583&lt;&gt;"", T583&gt;75)</f>
        <v>1</v>
      </c>
      <c r="I583" s="6">
        <v>300215</v>
      </c>
      <c r="J583" s="11" t="s">
        <v>1669</v>
      </c>
      <c r="K583" s="6" t="s">
        <v>593</v>
      </c>
      <c r="L583" s="14" t="s">
        <v>1670</v>
      </c>
      <c r="M583" s="6">
        <v>39131713</v>
      </c>
      <c r="O583" s="6">
        <v>41596</v>
      </c>
      <c r="P583" s="6" t="s">
        <v>1671</v>
      </c>
      <c r="Q583" s="6" t="s">
        <v>593</v>
      </c>
      <c r="S583" s="8">
        <v>0.92096032605706102</v>
      </c>
      <c r="T583" s="8">
        <v>93.548016302853</v>
      </c>
      <c r="U583" s="8">
        <v>93.548016302853</v>
      </c>
      <c r="V583" s="7">
        <v>100</v>
      </c>
    </row>
    <row r="584" spans="1:22" hidden="1" x14ac:dyDescent="0.3">
      <c r="A584" s="5">
        <v>897629</v>
      </c>
      <c r="B584" s="5" t="s">
        <v>1672</v>
      </c>
      <c r="C584" s="5" t="s">
        <v>179</v>
      </c>
      <c r="D584" s="5" t="s">
        <v>1673</v>
      </c>
      <c r="G584" s="19" t="b">
        <f t="shared" si="9"/>
        <v>0</v>
      </c>
      <c r="H584" s="19" t="b">
        <f>AND(J584&lt;&gt;"", T584&gt;75)</f>
        <v>1</v>
      </c>
      <c r="I584" s="6">
        <v>341137</v>
      </c>
      <c r="J584" s="11" t="s">
        <v>1673</v>
      </c>
      <c r="K584" s="6" t="s">
        <v>593</v>
      </c>
      <c r="L584" s="14" t="s">
        <v>1674</v>
      </c>
      <c r="M584" s="6">
        <v>39131713</v>
      </c>
      <c r="N584" s="6" t="s">
        <v>1675</v>
      </c>
      <c r="O584" s="6">
        <v>265549</v>
      </c>
      <c r="P584" s="6" t="s">
        <v>1676</v>
      </c>
      <c r="Q584" s="6" t="s">
        <v>593</v>
      </c>
      <c r="S584" s="8">
        <v>0.96064585755707799</v>
      </c>
      <c r="T584" s="8">
        <v>85.532292877853905</v>
      </c>
      <c r="U584" s="8">
        <v>89.532292877853905</v>
      </c>
      <c r="V584" s="7">
        <v>100</v>
      </c>
    </row>
    <row r="585" spans="1:22" hidden="1" x14ac:dyDescent="0.3">
      <c r="A585" s="5">
        <v>897630</v>
      </c>
      <c r="B585" s="5" t="s">
        <v>1677</v>
      </c>
      <c r="C585" s="5" t="s">
        <v>179</v>
      </c>
      <c r="D585" s="5" t="s">
        <v>1678</v>
      </c>
      <c r="G585" s="19" t="b">
        <f t="shared" si="9"/>
        <v>0</v>
      </c>
      <c r="H585" s="19" t="b">
        <f>AND(J585&lt;&gt;"", T585&gt;75)</f>
        <v>1</v>
      </c>
      <c r="I585" s="6">
        <v>341164</v>
      </c>
      <c r="J585" s="11" t="s">
        <v>1678</v>
      </c>
      <c r="K585" s="6" t="s">
        <v>593</v>
      </c>
      <c r="L585" s="14" t="s">
        <v>1679</v>
      </c>
      <c r="M585" s="6">
        <v>39131713</v>
      </c>
      <c r="N585" s="6" t="s">
        <v>1680</v>
      </c>
      <c r="O585" s="6">
        <v>265547</v>
      </c>
      <c r="P585" s="6" t="s">
        <v>1681</v>
      </c>
      <c r="Q585" s="6" t="s">
        <v>593</v>
      </c>
      <c r="S585" s="8">
        <v>0.94727692304413902</v>
      </c>
      <c r="T585" s="8">
        <v>84.863846152206904</v>
      </c>
      <c r="U585" s="8">
        <v>88.863846152206904</v>
      </c>
      <c r="V585" s="7">
        <v>100</v>
      </c>
    </row>
    <row r="586" spans="1:22" x14ac:dyDescent="0.3">
      <c r="A586" s="5">
        <v>897631</v>
      </c>
      <c r="B586" s="5" t="s">
        <v>1682</v>
      </c>
      <c r="C586" s="5" t="s">
        <v>1683</v>
      </c>
      <c r="D586" s="5">
        <v>60220</v>
      </c>
      <c r="G586" s="19" t="b">
        <f t="shared" si="9"/>
        <v>0</v>
      </c>
      <c r="H586" s="19" t="b">
        <f>AND(J586&lt;&gt;"", T586&gt;75)</f>
        <v>0</v>
      </c>
      <c r="J586" s="6"/>
    </row>
    <row r="587" spans="1:22" hidden="1" x14ac:dyDescent="0.3">
      <c r="A587" s="5">
        <v>897632</v>
      </c>
      <c r="B587" s="5" t="s">
        <v>1684</v>
      </c>
      <c r="C587" s="5" t="s">
        <v>179</v>
      </c>
      <c r="D587" s="5" t="s">
        <v>1685</v>
      </c>
      <c r="G587" s="19" t="b">
        <f t="shared" si="9"/>
        <v>0</v>
      </c>
      <c r="H587" s="19" t="b">
        <f>AND(J587&lt;&gt;"", T587&gt;75)</f>
        <v>1</v>
      </c>
      <c r="I587" s="6">
        <v>312734</v>
      </c>
      <c r="J587" s="11" t="s">
        <v>1686</v>
      </c>
      <c r="K587" s="6" t="s">
        <v>593</v>
      </c>
      <c r="L587" s="14" t="s">
        <v>1687</v>
      </c>
      <c r="M587" s="6">
        <v>39121400</v>
      </c>
      <c r="O587" s="6">
        <v>40105</v>
      </c>
      <c r="P587" s="6" t="s">
        <v>1688</v>
      </c>
      <c r="Q587" s="6" t="s">
        <v>593</v>
      </c>
      <c r="S587" s="8">
        <v>0.72780481734284497</v>
      </c>
      <c r="T587" s="8">
        <v>98.890240867142197</v>
      </c>
      <c r="U587" s="8">
        <v>92.890240867142197</v>
      </c>
      <c r="V587" s="8">
        <v>79.560963468569099</v>
      </c>
    </row>
    <row r="588" spans="1:22" x14ac:dyDescent="0.3">
      <c r="A588" s="5">
        <v>897633</v>
      </c>
      <c r="B588" s="5" t="s">
        <v>1689</v>
      </c>
      <c r="C588" s="5" t="s">
        <v>1690</v>
      </c>
      <c r="D588" s="5">
        <v>111.023</v>
      </c>
      <c r="G588" s="19" t="b">
        <f t="shared" si="9"/>
        <v>0</v>
      </c>
      <c r="H588" s="19" t="b">
        <f>AND(J588&lt;&gt;"", T588&gt;75)</f>
        <v>0</v>
      </c>
      <c r="J588" s="6"/>
    </row>
    <row r="589" spans="1:22" hidden="1" x14ac:dyDescent="0.3">
      <c r="A589" s="5">
        <v>897634</v>
      </c>
      <c r="B589" s="5" t="s">
        <v>1691</v>
      </c>
      <c r="C589" s="5" t="s">
        <v>179</v>
      </c>
      <c r="D589" s="5" t="s">
        <v>1692</v>
      </c>
      <c r="G589" s="19" t="b">
        <f t="shared" si="9"/>
        <v>0</v>
      </c>
      <c r="H589" s="19" t="b">
        <f>AND(J589&lt;&gt;"", T589&gt;75)</f>
        <v>1</v>
      </c>
      <c r="I589" s="6">
        <v>314369</v>
      </c>
      <c r="J589" s="11" t="s">
        <v>1692</v>
      </c>
      <c r="K589" s="6" t="s">
        <v>593</v>
      </c>
      <c r="L589" s="14" t="s">
        <v>1693</v>
      </c>
      <c r="M589" s="6">
        <v>39131712</v>
      </c>
      <c r="O589" s="6">
        <v>110839</v>
      </c>
      <c r="P589" s="6" t="s">
        <v>1694</v>
      </c>
      <c r="Q589" s="6" t="s">
        <v>593</v>
      </c>
      <c r="S589" s="8">
        <v>0.74871160000815196</v>
      </c>
      <c r="T589" s="7">
        <v>89.935580000407597</v>
      </c>
      <c r="U589" s="7">
        <v>87.935580000407597</v>
      </c>
      <c r="V589" s="7">
        <v>77.742320001630404</v>
      </c>
    </row>
    <row r="590" spans="1:22" x14ac:dyDescent="0.3">
      <c r="A590" s="5">
        <v>897635</v>
      </c>
      <c r="B590" s="5" t="s">
        <v>1695</v>
      </c>
      <c r="C590" s="5" t="s">
        <v>1690</v>
      </c>
      <c r="D590" s="5">
        <v>111.044</v>
      </c>
      <c r="G590" s="19" t="b">
        <f t="shared" si="9"/>
        <v>0</v>
      </c>
      <c r="H590" s="19" t="b">
        <f>AND(J590&lt;&gt;"", T590&gt;75)</f>
        <v>0</v>
      </c>
      <c r="J590" s="6"/>
    </row>
    <row r="591" spans="1:22" x14ac:dyDescent="0.3">
      <c r="A591" s="5">
        <v>897636</v>
      </c>
      <c r="B591" s="5" t="s">
        <v>1689</v>
      </c>
      <c r="C591" s="5" t="s">
        <v>1690</v>
      </c>
      <c r="D591" s="5">
        <v>111.023</v>
      </c>
      <c r="G591" s="19" t="b">
        <f t="shared" si="9"/>
        <v>0</v>
      </c>
      <c r="H591" s="19" t="b">
        <f>AND(J591&lt;&gt;"", T591&gt;75)</f>
        <v>0</v>
      </c>
      <c r="J591" s="6"/>
    </row>
    <row r="592" spans="1:22" x14ac:dyDescent="0.3">
      <c r="A592" s="5">
        <v>897637</v>
      </c>
      <c r="B592" s="5" t="s">
        <v>1696</v>
      </c>
      <c r="C592" s="5" t="s">
        <v>1690</v>
      </c>
      <c r="D592" s="5">
        <v>111.023</v>
      </c>
      <c r="G592" s="19" t="b">
        <f t="shared" si="9"/>
        <v>0</v>
      </c>
      <c r="H592" s="19" t="b">
        <f>AND(J592&lt;&gt;"", T592&gt;75)</f>
        <v>0</v>
      </c>
      <c r="J592" s="6"/>
    </row>
    <row r="593" spans="1:22" hidden="1" x14ac:dyDescent="0.3">
      <c r="A593" s="5">
        <v>897638</v>
      </c>
      <c r="B593" s="5" t="s">
        <v>1697</v>
      </c>
      <c r="C593" s="5" t="s">
        <v>179</v>
      </c>
      <c r="D593" s="5" t="s">
        <v>1698</v>
      </c>
      <c r="G593" s="19" t="b">
        <f t="shared" si="9"/>
        <v>0</v>
      </c>
      <c r="H593" s="19" t="b">
        <f>AND(J593&lt;&gt;"", T593&gt;75)</f>
        <v>1</v>
      </c>
      <c r="I593" s="6">
        <v>307796</v>
      </c>
      <c r="J593" s="11" t="s">
        <v>1698</v>
      </c>
      <c r="K593" s="6" t="s">
        <v>593</v>
      </c>
      <c r="L593" s="14" t="s">
        <v>1699</v>
      </c>
      <c r="M593" s="6">
        <v>39131712</v>
      </c>
      <c r="O593" s="6">
        <v>110844</v>
      </c>
      <c r="P593" s="6" t="s">
        <v>1700</v>
      </c>
      <c r="Q593" s="6" t="s">
        <v>593</v>
      </c>
      <c r="S593" s="8">
        <v>0.77109527559477897</v>
      </c>
      <c r="T593" s="8">
        <v>91.054763779738906</v>
      </c>
      <c r="U593" s="8">
        <v>89.054763779738906</v>
      </c>
      <c r="V593" s="8">
        <v>82.219055118955893</v>
      </c>
    </row>
    <row r="594" spans="1:22" x14ac:dyDescent="0.3">
      <c r="A594" s="5">
        <v>897639</v>
      </c>
      <c r="B594" s="5" t="s">
        <v>1701</v>
      </c>
      <c r="C594" s="5" t="s">
        <v>1690</v>
      </c>
      <c r="D594" s="5">
        <v>111.044</v>
      </c>
      <c r="G594" s="19" t="b">
        <f t="shared" si="9"/>
        <v>0</v>
      </c>
      <c r="H594" s="19" t="b">
        <f>AND(J594&lt;&gt;"", T594&gt;75)</f>
        <v>0</v>
      </c>
      <c r="J594" s="6"/>
    </row>
    <row r="595" spans="1:22" hidden="1" x14ac:dyDescent="0.3">
      <c r="A595" s="5">
        <v>897640</v>
      </c>
      <c r="B595" s="5" t="s">
        <v>1702</v>
      </c>
      <c r="C595" s="5" t="s">
        <v>179</v>
      </c>
      <c r="D595" s="5" t="s">
        <v>1703</v>
      </c>
      <c r="G595" s="19" t="b">
        <f t="shared" si="9"/>
        <v>0</v>
      </c>
      <c r="H595" s="19" t="b">
        <f>AND(J595&lt;&gt;"", T595&gt;75)</f>
        <v>1</v>
      </c>
      <c r="I595" s="6">
        <v>298913</v>
      </c>
      <c r="J595" s="11" t="s">
        <v>1703</v>
      </c>
      <c r="K595" s="6" t="s">
        <v>593</v>
      </c>
      <c r="L595" s="14" t="s">
        <v>1704</v>
      </c>
      <c r="M595" s="6">
        <v>39131712</v>
      </c>
      <c r="O595" s="6">
        <v>6460</v>
      </c>
      <c r="P595" s="6" t="s">
        <v>1705</v>
      </c>
      <c r="Q595" s="6" t="s">
        <v>593</v>
      </c>
      <c r="S595" s="8">
        <v>0.77409272452216205</v>
      </c>
      <c r="T595" s="8">
        <v>91.204636226108093</v>
      </c>
      <c r="U595" s="8">
        <v>89.204636226108093</v>
      </c>
      <c r="V595" s="8">
        <v>82.8185449044325</v>
      </c>
    </row>
    <row r="596" spans="1:22" hidden="1" x14ac:dyDescent="0.3">
      <c r="A596" s="5">
        <v>897641</v>
      </c>
      <c r="B596" s="5" t="s">
        <v>1697</v>
      </c>
      <c r="C596" s="5" t="s">
        <v>179</v>
      </c>
      <c r="D596" s="5" t="s">
        <v>1698</v>
      </c>
      <c r="G596" s="19" t="b">
        <f t="shared" si="9"/>
        <v>0</v>
      </c>
      <c r="H596" s="19" t="b">
        <f>AND(J596&lt;&gt;"", T596&gt;75)</f>
        <v>1</v>
      </c>
      <c r="I596" s="6">
        <v>307796</v>
      </c>
      <c r="J596" s="11" t="s">
        <v>1698</v>
      </c>
      <c r="K596" s="6" t="s">
        <v>593</v>
      </c>
      <c r="L596" s="14" t="s">
        <v>1699</v>
      </c>
      <c r="M596" s="6">
        <v>39131712</v>
      </c>
      <c r="O596" s="6">
        <v>110844</v>
      </c>
      <c r="P596" s="6" t="s">
        <v>1700</v>
      </c>
      <c r="Q596" s="6" t="s">
        <v>593</v>
      </c>
      <c r="S596" s="8">
        <v>0.77109527559477897</v>
      </c>
      <c r="T596" s="8">
        <v>91.054763779738906</v>
      </c>
      <c r="U596" s="8">
        <v>89.054763779738906</v>
      </c>
      <c r="V596" s="8">
        <v>82.219055118955893</v>
      </c>
    </row>
    <row r="597" spans="1:22" hidden="1" x14ac:dyDescent="0.3">
      <c r="A597" s="5">
        <v>897642</v>
      </c>
      <c r="B597" s="5" t="s">
        <v>1706</v>
      </c>
      <c r="C597" s="5" t="s">
        <v>179</v>
      </c>
      <c r="D597" s="5" t="s">
        <v>1707</v>
      </c>
      <c r="G597" s="19" t="b">
        <f t="shared" si="9"/>
        <v>0</v>
      </c>
      <c r="H597" s="19" t="b">
        <f>AND(J597&lt;&gt;"", T597&gt;75)</f>
        <v>1</v>
      </c>
      <c r="I597" s="6">
        <v>300732</v>
      </c>
      <c r="J597" s="11" t="s">
        <v>1707</v>
      </c>
      <c r="K597" s="6" t="s">
        <v>593</v>
      </c>
      <c r="L597" s="14" t="s">
        <v>1708</v>
      </c>
      <c r="M597" s="6">
        <v>39131712</v>
      </c>
      <c r="O597" s="6">
        <v>110853</v>
      </c>
      <c r="P597" s="6" t="s">
        <v>1709</v>
      </c>
      <c r="Q597" s="6" t="s">
        <v>593</v>
      </c>
      <c r="S597" s="7">
        <v>0.75189281389955098</v>
      </c>
      <c r="T597" s="7">
        <v>100</v>
      </c>
      <c r="U597" s="8">
        <v>94.0946406949775</v>
      </c>
      <c r="V597" s="7">
        <v>84.378562779910197</v>
      </c>
    </row>
    <row r="598" spans="1:22" hidden="1" x14ac:dyDescent="0.3">
      <c r="A598" s="5">
        <v>897643</v>
      </c>
      <c r="B598" s="5" t="s">
        <v>1668</v>
      </c>
      <c r="C598" s="5" t="s">
        <v>179</v>
      </c>
      <c r="D598" s="5" t="s">
        <v>1669</v>
      </c>
      <c r="G598" s="19" t="b">
        <f t="shared" si="9"/>
        <v>0</v>
      </c>
      <c r="H598" s="19" t="b">
        <f>AND(J598&lt;&gt;"", T598&gt;75)</f>
        <v>1</v>
      </c>
      <c r="I598" s="6">
        <v>300215</v>
      </c>
      <c r="J598" s="11" t="s">
        <v>1669</v>
      </c>
      <c r="K598" s="6" t="s">
        <v>593</v>
      </c>
      <c r="L598" s="14" t="s">
        <v>1670</v>
      </c>
      <c r="M598" s="6">
        <v>39131713</v>
      </c>
      <c r="O598" s="6">
        <v>41596</v>
      </c>
      <c r="P598" s="6" t="s">
        <v>1671</v>
      </c>
      <c r="Q598" s="6" t="s">
        <v>593</v>
      </c>
      <c r="S598" s="8">
        <v>0.92101808205407298</v>
      </c>
      <c r="T598" s="7">
        <v>93.550904102703697</v>
      </c>
      <c r="U598" s="7">
        <v>93.550904102703697</v>
      </c>
      <c r="V598" s="7">
        <v>100</v>
      </c>
    </row>
    <row r="599" spans="1:22" hidden="1" x14ac:dyDescent="0.3">
      <c r="A599" s="5">
        <v>897644</v>
      </c>
      <c r="B599" s="5" t="s">
        <v>1677</v>
      </c>
      <c r="C599" s="5" t="s">
        <v>179</v>
      </c>
      <c r="D599" s="5" t="s">
        <v>1678</v>
      </c>
      <c r="G599" s="19" t="b">
        <f t="shared" si="9"/>
        <v>0</v>
      </c>
      <c r="H599" s="19" t="b">
        <f>AND(J599&lt;&gt;"", T599&gt;75)</f>
        <v>1</v>
      </c>
      <c r="I599" s="6">
        <v>341164</v>
      </c>
      <c r="J599" s="11" t="s">
        <v>1678</v>
      </c>
      <c r="K599" s="6" t="s">
        <v>593</v>
      </c>
      <c r="L599" s="14" t="s">
        <v>1679</v>
      </c>
      <c r="M599" s="6">
        <v>39131713</v>
      </c>
      <c r="N599" s="6" t="s">
        <v>1680</v>
      </c>
      <c r="O599" s="6">
        <v>265547</v>
      </c>
      <c r="P599" s="6" t="s">
        <v>1681</v>
      </c>
      <c r="Q599" s="6" t="s">
        <v>593</v>
      </c>
      <c r="S599" s="8">
        <v>0.94727692304413902</v>
      </c>
      <c r="T599" s="8">
        <v>84.863846152206904</v>
      </c>
      <c r="U599" s="8">
        <v>88.863846152206904</v>
      </c>
      <c r="V599" s="7">
        <v>100</v>
      </c>
    </row>
    <row r="600" spans="1:22" hidden="1" x14ac:dyDescent="0.3">
      <c r="A600" s="5">
        <v>897645</v>
      </c>
      <c r="B600" s="5" t="s">
        <v>1706</v>
      </c>
      <c r="C600" s="5" t="s">
        <v>179</v>
      </c>
      <c r="D600" s="5" t="s">
        <v>1707</v>
      </c>
      <c r="G600" s="19" t="b">
        <f t="shared" si="9"/>
        <v>0</v>
      </c>
      <c r="H600" s="19" t="b">
        <f>AND(J600&lt;&gt;"", T600&gt;75)</f>
        <v>1</v>
      </c>
      <c r="I600" s="6">
        <v>300732</v>
      </c>
      <c r="J600" s="11" t="s">
        <v>1707</v>
      </c>
      <c r="K600" s="6" t="s">
        <v>593</v>
      </c>
      <c r="L600" s="14" t="s">
        <v>1708</v>
      </c>
      <c r="M600" s="6">
        <v>39131712</v>
      </c>
      <c r="O600" s="6">
        <v>110853</v>
      </c>
      <c r="P600" s="6" t="s">
        <v>1709</v>
      </c>
      <c r="Q600" s="6" t="s">
        <v>593</v>
      </c>
      <c r="S600" s="7">
        <v>0.75189281389955098</v>
      </c>
      <c r="T600" s="7">
        <v>100</v>
      </c>
      <c r="U600" s="8">
        <v>94.0946406949775</v>
      </c>
      <c r="V600" s="7">
        <v>84.378562779910197</v>
      </c>
    </row>
    <row r="601" spans="1:22" hidden="1" x14ac:dyDescent="0.3">
      <c r="A601" s="5">
        <v>897646</v>
      </c>
      <c r="B601" s="5" t="s">
        <v>1697</v>
      </c>
      <c r="C601" s="5" t="s">
        <v>179</v>
      </c>
      <c r="D601" s="5" t="s">
        <v>1698</v>
      </c>
      <c r="G601" s="19" t="b">
        <f t="shared" si="9"/>
        <v>0</v>
      </c>
      <c r="H601" s="19" t="b">
        <f>AND(J601&lt;&gt;"", T601&gt;75)</f>
        <v>1</v>
      </c>
      <c r="I601" s="6">
        <v>307796</v>
      </c>
      <c r="J601" s="11" t="s">
        <v>1698</v>
      </c>
      <c r="K601" s="6" t="s">
        <v>593</v>
      </c>
      <c r="L601" s="14" t="s">
        <v>1699</v>
      </c>
      <c r="M601" s="6">
        <v>39131712</v>
      </c>
      <c r="O601" s="6">
        <v>110844</v>
      </c>
      <c r="P601" s="6" t="s">
        <v>1700</v>
      </c>
      <c r="Q601" s="6" t="s">
        <v>593</v>
      </c>
      <c r="S601" s="8">
        <v>0.77109527559477897</v>
      </c>
      <c r="T601" s="8">
        <v>91.054763779738906</v>
      </c>
      <c r="U601" s="8">
        <v>89.054763779738906</v>
      </c>
      <c r="V601" s="8">
        <v>82.219055118955893</v>
      </c>
    </row>
    <row r="602" spans="1:22" hidden="1" x14ac:dyDescent="0.3">
      <c r="A602" s="5">
        <v>897647</v>
      </c>
      <c r="B602" s="5" t="s">
        <v>1668</v>
      </c>
      <c r="C602" s="5" t="s">
        <v>179</v>
      </c>
      <c r="D602" s="5" t="s">
        <v>1669</v>
      </c>
      <c r="G602" s="19" t="b">
        <f t="shared" si="9"/>
        <v>0</v>
      </c>
      <c r="H602" s="19" t="b">
        <f>AND(J602&lt;&gt;"", T602&gt;75)</f>
        <v>1</v>
      </c>
      <c r="I602" s="6">
        <v>300215</v>
      </c>
      <c r="J602" s="11" t="s">
        <v>1669</v>
      </c>
      <c r="K602" s="6" t="s">
        <v>593</v>
      </c>
      <c r="L602" s="14" t="s">
        <v>1670</v>
      </c>
      <c r="M602" s="6">
        <v>39131713</v>
      </c>
      <c r="O602" s="6">
        <v>41596</v>
      </c>
      <c r="P602" s="6" t="s">
        <v>1671</v>
      </c>
      <c r="Q602" s="6" t="s">
        <v>593</v>
      </c>
      <c r="S602" s="8">
        <v>0.92101808205407298</v>
      </c>
      <c r="T602" s="7">
        <v>93.550904102703697</v>
      </c>
      <c r="U602" s="7">
        <v>93.550904102703697</v>
      </c>
      <c r="V602" s="7">
        <v>100</v>
      </c>
    </row>
    <row r="603" spans="1:22" hidden="1" x14ac:dyDescent="0.3">
      <c r="A603" s="5">
        <v>897648</v>
      </c>
      <c r="B603" s="5" t="s">
        <v>1677</v>
      </c>
      <c r="C603" s="5" t="s">
        <v>179</v>
      </c>
      <c r="D603" s="5" t="s">
        <v>1678</v>
      </c>
      <c r="G603" s="19" t="b">
        <f t="shared" si="9"/>
        <v>0</v>
      </c>
      <c r="H603" s="19" t="b">
        <f>AND(J603&lt;&gt;"", T603&gt;75)</f>
        <v>1</v>
      </c>
      <c r="I603" s="6">
        <v>341164</v>
      </c>
      <c r="J603" s="11" t="s">
        <v>1678</v>
      </c>
      <c r="K603" s="6" t="s">
        <v>593</v>
      </c>
      <c r="L603" s="14" t="s">
        <v>1679</v>
      </c>
      <c r="M603" s="6">
        <v>39131713</v>
      </c>
      <c r="N603" s="6" t="s">
        <v>1680</v>
      </c>
      <c r="O603" s="6">
        <v>265547</v>
      </c>
      <c r="P603" s="6" t="s">
        <v>1681</v>
      </c>
      <c r="Q603" s="6" t="s">
        <v>593</v>
      </c>
      <c r="S603" s="8">
        <v>0.94727692304413902</v>
      </c>
      <c r="T603" s="8">
        <v>84.863846152206904</v>
      </c>
      <c r="U603" s="8">
        <v>88.863846152206904</v>
      </c>
      <c r="V603" s="7">
        <v>100</v>
      </c>
    </row>
    <row r="604" spans="1:22" hidden="1" x14ac:dyDescent="0.3">
      <c r="A604" s="5">
        <v>897649</v>
      </c>
      <c r="B604" s="5" t="s">
        <v>1710</v>
      </c>
      <c r="C604" s="5" t="s">
        <v>179</v>
      </c>
      <c r="D604" s="5" t="s">
        <v>1692</v>
      </c>
      <c r="G604" s="19" t="b">
        <f t="shared" si="9"/>
        <v>0</v>
      </c>
      <c r="H604" s="19" t="b">
        <f>AND(J604&lt;&gt;"", T604&gt;75)</f>
        <v>1</v>
      </c>
      <c r="I604" s="6">
        <v>314369</v>
      </c>
      <c r="J604" s="11" t="s">
        <v>1692</v>
      </c>
      <c r="K604" s="6" t="s">
        <v>593</v>
      </c>
      <c r="L604" s="14" t="s">
        <v>1693</v>
      </c>
      <c r="M604" s="6">
        <v>39131712</v>
      </c>
      <c r="O604" s="6">
        <v>110839</v>
      </c>
      <c r="P604" s="6" t="s">
        <v>1694</v>
      </c>
      <c r="Q604" s="6" t="s">
        <v>593</v>
      </c>
      <c r="S604" s="8">
        <v>0.76326662582857696</v>
      </c>
      <c r="T604" s="8">
        <v>90.663331291428804</v>
      </c>
      <c r="U604" s="8">
        <v>88.663331291428804</v>
      </c>
      <c r="V604" s="8">
        <v>80.653325165715501</v>
      </c>
    </row>
    <row r="605" spans="1:22" hidden="1" x14ac:dyDescent="0.3">
      <c r="A605" s="5">
        <v>897650</v>
      </c>
      <c r="B605" s="5" t="s">
        <v>1711</v>
      </c>
      <c r="C605" s="5" t="s">
        <v>179</v>
      </c>
      <c r="D605" s="5" t="s">
        <v>1712</v>
      </c>
      <c r="G605" s="19" t="b">
        <f t="shared" si="9"/>
        <v>0</v>
      </c>
      <c r="H605" s="19" t="b">
        <f>AND(J605&lt;&gt;"", T605&gt;75)</f>
        <v>1</v>
      </c>
      <c r="I605" s="6">
        <v>313094</v>
      </c>
      <c r="J605" s="11" t="s">
        <v>1713</v>
      </c>
      <c r="K605" s="6" t="s">
        <v>593</v>
      </c>
      <c r="L605" s="14" t="s">
        <v>1714</v>
      </c>
      <c r="M605" s="6">
        <v>39121717</v>
      </c>
      <c r="O605" s="6">
        <v>7898</v>
      </c>
      <c r="P605" s="6" t="s">
        <v>1715</v>
      </c>
      <c r="Q605" s="6" t="s">
        <v>593</v>
      </c>
      <c r="S605" s="8">
        <v>0.80812130562567996</v>
      </c>
      <c r="T605" s="8">
        <v>92.906065281284</v>
      </c>
      <c r="U605" s="8">
        <v>90.906065281284</v>
      </c>
      <c r="V605" s="8">
        <v>89.624261125136101</v>
      </c>
    </row>
    <row r="606" spans="1:22" hidden="1" x14ac:dyDescent="0.3">
      <c r="A606" s="5">
        <v>897651</v>
      </c>
      <c r="B606" s="5" t="s">
        <v>1716</v>
      </c>
      <c r="C606" s="5" t="s">
        <v>179</v>
      </c>
      <c r="D606" s="5" t="s">
        <v>1717</v>
      </c>
      <c r="G606" s="19" t="b">
        <f t="shared" si="9"/>
        <v>0</v>
      </c>
      <c r="H606" s="19" t="b">
        <f>AND(J606&lt;&gt;"", T606&gt;75)</f>
        <v>1</v>
      </c>
      <c r="I606" s="6">
        <v>342611</v>
      </c>
      <c r="J606" s="11" t="s">
        <v>1718</v>
      </c>
      <c r="K606" s="6" t="s">
        <v>593</v>
      </c>
      <c r="L606" s="14" t="s">
        <v>1719</v>
      </c>
      <c r="M606" s="6">
        <v>39121400</v>
      </c>
      <c r="N606" s="6" t="s">
        <v>1720</v>
      </c>
      <c r="O606" s="6">
        <v>272518</v>
      </c>
      <c r="P606" s="6" t="s">
        <v>1721</v>
      </c>
      <c r="Q606" s="6" t="s">
        <v>593</v>
      </c>
      <c r="S606" s="8">
        <v>0.76850154089320299</v>
      </c>
      <c r="T606" s="8">
        <v>95.9250770446601</v>
      </c>
      <c r="U606" s="8">
        <v>91.9250770446601</v>
      </c>
      <c r="V606" s="8">
        <v>84.700308178640597</v>
      </c>
    </row>
    <row r="607" spans="1:22" x14ac:dyDescent="0.3">
      <c r="A607" s="5">
        <v>897652</v>
      </c>
      <c r="B607" s="5" t="s">
        <v>1722</v>
      </c>
      <c r="C607" s="5" t="s">
        <v>179</v>
      </c>
      <c r="D607" s="5" t="s">
        <v>1723</v>
      </c>
      <c r="G607" s="19" t="b">
        <f t="shared" si="9"/>
        <v>0</v>
      </c>
      <c r="H607" s="19" t="b">
        <f>AND(J607&lt;&gt;"", T607&gt;75)</f>
        <v>0</v>
      </c>
      <c r="J607" s="6"/>
    </row>
    <row r="608" spans="1:22" hidden="1" x14ac:dyDescent="0.3">
      <c r="A608" s="5">
        <v>897653</v>
      </c>
      <c r="B608" s="5" t="s">
        <v>1724</v>
      </c>
      <c r="C608" s="5" t="s">
        <v>1134</v>
      </c>
      <c r="D608" s="5" t="s">
        <v>1725</v>
      </c>
      <c r="G608" s="19" t="b">
        <f t="shared" si="9"/>
        <v>0</v>
      </c>
      <c r="H608" s="19" t="b">
        <f>AND(J608&lt;&gt;"", T608&gt;75)</f>
        <v>1</v>
      </c>
      <c r="I608" s="6">
        <v>336726</v>
      </c>
      <c r="J608" s="11">
        <v>92578</v>
      </c>
      <c r="K608" s="6" t="s">
        <v>65</v>
      </c>
      <c r="L608" s="13">
        <v>783310101574</v>
      </c>
      <c r="M608" s="6">
        <v>27112826</v>
      </c>
      <c r="N608" s="6" t="s">
        <v>1726</v>
      </c>
      <c r="O608" s="6">
        <v>259036</v>
      </c>
      <c r="P608" s="6" t="s">
        <v>1727</v>
      </c>
      <c r="Q608" s="6" t="s">
        <v>65</v>
      </c>
      <c r="S608" s="8">
        <v>0.86777566447041199</v>
      </c>
      <c r="T608" s="7">
        <v>75.888783223520605</v>
      </c>
      <c r="U608" s="7">
        <v>81.888783223520605</v>
      </c>
      <c r="V608" s="8">
        <v>89.555132894082405</v>
      </c>
    </row>
    <row r="609" spans="1:22" hidden="1" x14ac:dyDescent="0.3">
      <c r="A609" s="5">
        <v>897654</v>
      </c>
      <c r="B609" s="5" t="s">
        <v>1728</v>
      </c>
      <c r="C609" s="5" t="s">
        <v>1134</v>
      </c>
      <c r="D609" s="5" t="s">
        <v>1729</v>
      </c>
      <c r="G609" s="19" t="b">
        <f t="shared" si="9"/>
        <v>0</v>
      </c>
      <c r="H609" s="19" t="b">
        <f>AND(J609&lt;&gt;"", T609&gt;75)</f>
        <v>1</v>
      </c>
      <c r="I609" s="6">
        <v>336723</v>
      </c>
      <c r="J609" s="11">
        <v>925011</v>
      </c>
      <c r="K609" s="6" t="s">
        <v>65</v>
      </c>
      <c r="L609" s="13">
        <v>783310101635</v>
      </c>
      <c r="M609" s="6">
        <v>27112811</v>
      </c>
      <c r="N609" s="6" t="s">
        <v>1730</v>
      </c>
      <c r="O609" s="6">
        <v>259034</v>
      </c>
      <c r="P609" s="6" t="s">
        <v>1731</v>
      </c>
      <c r="Q609" s="6" t="s">
        <v>65</v>
      </c>
      <c r="S609" s="8">
        <v>0.95597663447023395</v>
      </c>
      <c r="T609" s="8">
        <v>85.298831723511697</v>
      </c>
      <c r="U609" s="8">
        <v>89.298831723511697</v>
      </c>
      <c r="V609" s="7">
        <v>100</v>
      </c>
    </row>
    <row r="610" spans="1:22" hidden="1" x14ac:dyDescent="0.3">
      <c r="A610" s="5">
        <v>897655</v>
      </c>
      <c r="B610" s="5" t="s">
        <v>1732</v>
      </c>
      <c r="C610" s="5" t="s">
        <v>179</v>
      </c>
      <c r="D610" s="5" t="s">
        <v>1733</v>
      </c>
      <c r="G610" s="19" t="b">
        <f t="shared" si="9"/>
        <v>0</v>
      </c>
      <c r="H610" s="19" t="b">
        <f>AND(J610&lt;&gt;"", T610&gt;75)</f>
        <v>1</v>
      </c>
      <c r="I610" s="6">
        <v>341244</v>
      </c>
      <c r="J610" s="11" t="s">
        <v>1734</v>
      </c>
      <c r="K610" s="6" t="s">
        <v>593</v>
      </c>
      <c r="L610" s="14" t="s">
        <v>1735</v>
      </c>
      <c r="M610" s="6">
        <v>39121400</v>
      </c>
      <c r="N610" s="6" t="s">
        <v>1736</v>
      </c>
      <c r="O610" s="6">
        <v>272519</v>
      </c>
      <c r="P610" s="6" t="s">
        <v>1737</v>
      </c>
      <c r="Q610" s="6" t="s">
        <v>593</v>
      </c>
      <c r="S610" s="8">
        <v>0.76025924472378803</v>
      </c>
      <c r="T610" s="8">
        <v>90.512962236189395</v>
      </c>
      <c r="U610" s="8">
        <v>88.512962236189395</v>
      </c>
      <c r="V610" s="8">
        <v>80.051848944757694</v>
      </c>
    </row>
    <row r="611" spans="1:22" x14ac:dyDescent="0.3">
      <c r="A611" s="5">
        <v>897656</v>
      </c>
      <c r="B611" s="5" t="s">
        <v>1738</v>
      </c>
      <c r="C611" s="5" t="s">
        <v>179</v>
      </c>
      <c r="D611" s="5" t="s">
        <v>1739</v>
      </c>
      <c r="G611" s="19" t="b">
        <f t="shared" si="9"/>
        <v>0</v>
      </c>
      <c r="H611" s="19" t="b">
        <f>AND(J611&lt;&gt;"", T611&gt;75)</f>
        <v>0</v>
      </c>
      <c r="J611" s="6"/>
    </row>
    <row r="612" spans="1:22" x14ac:dyDescent="0.3">
      <c r="A612" s="5">
        <v>897657</v>
      </c>
      <c r="B612" s="5" t="s">
        <v>1740</v>
      </c>
      <c r="C612" s="5" t="s">
        <v>1151</v>
      </c>
      <c r="D612" s="5" t="s">
        <v>1741</v>
      </c>
      <c r="G612" s="19" t="b">
        <f t="shared" si="9"/>
        <v>1</v>
      </c>
      <c r="H612" s="19" t="b">
        <f>AND(J612&lt;&gt;"", T612&gt;75)</f>
        <v>0</v>
      </c>
      <c r="J612" s="6"/>
      <c r="Q612" s="6" t="s">
        <v>645</v>
      </c>
      <c r="R612" s="6" t="s">
        <v>1742</v>
      </c>
      <c r="U612" s="7">
        <v>70</v>
      </c>
    </row>
    <row r="613" spans="1:22" x14ac:dyDescent="0.3">
      <c r="A613" s="5">
        <v>897658</v>
      </c>
      <c r="B613" s="5" t="s">
        <v>1743</v>
      </c>
      <c r="C613" s="5" t="s">
        <v>1151</v>
      </c>
      <c r="D613" s="5" t="s">
        <v>1744</v>
      </c>
      <c r="G613" s="19" t="b">
        <f t="shared" si="9"/>
        <v>0</v>
      </c>
      <c r="H613" s="19" t="b">
        <f>AND(J613&lt;&gt;"", T613&gt;75)</f>
        <v>0</v>
      </c>
      <c r="J613" s="6"/>
    </row>
    <row r="614" spans="1:22" x14ac:dyDescent="0.3">
      <c r="A614" s="5">
        <v>897659</v>
      </c>
      <c r="B614" s="5" t="s">
        <v>1745</v>
      </c>
      <c r="C614" s="5" t="s">
        <v>1151</v>
      </c>
      <c r="D614" s="5" t="s">
        <v>1746</v>
      </c>
      <c r="G614" s="19" t="b">
        <f t="shared" si="9"/>
        <v>0</v>
      </c>
      <c r="H614" s="19" t="b">
        <f>AND(J614&lt;&gt;"", T614&gt;75)</f>
        <v>0</v>
      </c>
      <c r="J614" s="6"/>
    </row>
    <row r="615" spans="1:22" x14ac:dyDescent="0.3">
      <c r="A615" s="5">
        <v>897660</v>
      </c>
      <c r="B615" s="5" t="s">
        <v>1747</v>
      </c>
      <c r="C615" s="5" t="s">
        <v>1119</v>
      </c>
      <c r="D615" s="5" t="s">
        <v>1748</v>
      </c>
      <c r="G615" s="19" t="b">
        <f t="shared" si="9"/>
        <v>1</v>
      </c>
      <c r="H615" s="19" t="b">
        <f>AND(J615&lt;&gt;"", T615&gt;75)</f>
        <v>0</v>
      </c>
      <c r="J615" s="6"/>
      <c r="Q615" s="6" t="s">
        <v>618</v>
      </c>
      <c r="R615" s="6" t="s">
        <v>1119</v>
      </c>
      <c r="U615" s="7">
        <v>60</v>
      </c>
    </row>
    <row r="616" spans="1:22" x14ac:dyDescent="0.3">
      <c r="A616" s="5">
        <v>897661</v>
      </c>
      <c r="B616" s="5" t="s">
        <v>1749</v>
      </c>
      <c r="C616" s="5" t="s">
        <v>1119</v>
      </c>
      <c r="D616" s="5" t="s">
        <v>1750</v>
      </c>
      <c r="G616" s="19" t="b">
        <f t="shared" si="9"/>
        <v>0</v>
      </c>
      <c r="H616" s="19" t="b">
        <f>AND(J616&lt;&gt;"", T616&gt;75)</f>
        <v>0</v>
      </c>
      <c r="J616" s="6"/>
      <c r="U616" s="7">
        <v>0</v>
      </c>
    </row>
    <row r="617" spans="1:22" x14ac:dyDescent="0.3">
      <c r="A617" s="5">
        <v>897662</v>
      </c>
      <c r="B617" s="5" t="s">
        <v>1751</v>
      </c>
      <c r="C617" s="5" t="s">
        <v>1189</v>
      </c>
      <c r="D617" s="5" t="s">
        <v>1752</v>
      </c>
      <c r="G617" s="19" t="b">
        <f t="shared" si="9"/>
        <v>1</v>
      </c>
      <c r="H617" s="19" t="b">
        <f>AND(J617&lt;&gt;"", T617&gt;75)</f>
        <v>0</v>
      </c>
      <c r="J617" s="6"/>
      <c r="Q617" s="6" t="s">
        <v>376</v>
      </c>
      <c r="R617" s="6" t="s">
        <v>1189</v>
      </c>
      <c r="U617" s="7">
        <v>60</v>
      </c>
    </row>
    <row r="618" spans="1:22" hidden="1" x14ac:dyDescent="0.3">
      <c r="A618" s="5">
        <v>897663</v>
      </c>
      <c r="B618" s="5" t="s">
        <v>1753</v>
      </c>
      <c r="C618" s="5" t="s">
        <v>1683</v>
      </c>
      <c r="D618" s="5">
        <v>39220</v>
      </c>
      <c r="G618" s="19" t="b">
        <f t="shared" si="9"/>
        <v>0</v>
      </c>
      <c r="H618" s="19" t="b">
        <f>AND(J618&lt;&gt;"", T618&gt;75)</f>
        <v>0</v>
      </c>
      <c r="I618" s="6">
        <v>288470</v>
      </c>
      <c r="J618" s="6">
        <v>39220</v>
      </c>
      <c r="K618" s="6" t="s">
        <v>212</v>
      </c>
      <c r="L618" s="14" t="s">
        <v>1754</v>
      </c>
      <c r="M618" s="6">
        <v>26112002</v>
      </c>
      <c r="O618" s="6">
        <v>22289</v>
      </c>
      <c r="P618" s="6" t="s">
        <v>1755</v>
      </c>
      <c r="Q618" s="6" t="s">
        <v>212</v>
      </c>
      <c r="S618" s="8">
        <v>0.52240882115184595</v>
      </c>
      <c r="T618" s="7">
        <v>58.620441057592302</v>
      </c>
      <c r="U618" s="7">
        <v>64.620441057592302</v>
      </c>
      <c r="V618" s="7">
        <v>20.481764230369201</v>
      </c>
    </row>
    <row r="619" spans="1:22" hidden="1" x14ac:dyDescent="0.3">
      <c r="A619" s="5">
        <v>897664</v>
      </c>
      <c r="B619" s="5" t="s">
        <v>1756</v>
      </c>
      <c r="C619" s="5" t="s">
        <v>179</v>
      </c>
      <c r="D619" s="5" t="s">
        <v>1757</v>
      </c>
      <c r="G619" s="19" t="b">
        <f t="shared" si="9"/>
        <v>0</v>
      </c>
      <c r="H619" s="19" t="b">
        <f>AND(J619&lt;&gt;"", T619&gt;75)</f>
        <v>1</v>
      </c>
      <c r="I619" s="6">
        <v>341180</v>
      </c>
      <c r="J619" s="11" t="s">
        <v>1758</v>
      </c>
      <c r="K619" s="6" t="s">
        <v>593</v>
      </c>
      <c r="L619" s="14" t="s">
        <v>1759</v>
      </c>
      <c r="M619" s="6">
        <v>39121400</v>
      </c>
      <c r="N619" s="6" t="s">
        <v>1760</v>
      </c>
      <c r="O619" s="6">
        <v>265570</v>
      </c>
      <c r="P619" s="6" t="s">
        <v>1761</v>
      </c>
      <c r="Q619" s="6" t="s">
        <v>593</v>
      </c>
      <c r="S619" s="7">
        <v>0.89343763056830805</v>
      </c>
      <c r="T619" s="7">
        <v>100</v>
      </c>
      <c r="U619" s="7">
        <v>98.171881528415398</v>
      </c>
      <c r="V619" s="7">
        <v>100</v>
      </c>
    </row>
    <row r="620" spans="1:22" hidden="1" x14ac:dyDescent="0.3">
      <c r="A620" s="5">
        <v>897665</v>
      </c>
      <c r="B620" s="5" t="s">
        <v>1762</v>
      </c>
      <c r="C620" s="5" t="s">
        <v>1053</v>
      </c>
      <c r="D620" s="5" t="s">
        <v>1763</v>
      </c>
      <c r="G620" s="19" t="b">
        <f t="shared" si="9"/>
        <v>0</v>
      </c>
      <c r="H620" s="19" t="b">
        <f>AND(J620&lt;&gt;"", T620&gt;75)</f>
        <v>1</v>
      </c>
      <c r="I620" s="6">
        <v>339535</v>
      </c>
      <c r="J620" s="11">
        <v>36242</v>
      </c>
      <c r="K620" s="6" t="s">
        <v>565</v>
      </c>
      <c r="L620" s="13">
        <v>783250362424</v>
      </c>
      <c r="M620" s="6">
        <v>27111701</v>
      </c>
      <c r="N620" s="6" t="s">
        <v>1764</v>
      </c>
      <c r="O620" s="6">
        <v>260679</v>
      </c>
      <c r="P620" s="6" t="s">
        <v>1765</v>
      </c>
      <c r="Q620" s="6" t="s">
        <v>565</v>
      </c>
      <c r="S620" s="8">
        <v>0.91535324723229095</v>
      </c>
      <c r="T620" s="8">
        <v>78.267662361614498</v>
      </c>
      <c r="U620" s="8">
        <v>84.267662361614498</v>
      </c>
      <c r="V620" s="7">
        <v>99.070649446458205</v>
      </c>
    </row>
    <row r="621" spans="1:22" hidden="1" x14ac:dyDescent="0.3">
      <c r="A621" s="5">
        <v>897666</v>
      </c>
      <c r="B621" s="5" t="s">
        <v>1766</v>
      </c>
      <c r="C621" s="5" t="s">
        <v>1683</v>
      </c>
      <c r="D621" s="5">
        <v>39000</v>
      </c>
      <c r="G621" s="19" t="b">
        <f t="shared" si="9"/>
        <v>0</v>
      </c>
      <c r="H621" s="19" t="b">
        <f>AND(J621&lt;&gt;"", T621&gt;75)</f>
        <v>0</v>
      </c>
      <c r="I621" s="6">
        <v>279595</v>
      </c>
      <c r="J621" s="6">
        <v>39000</v>
      </c>
      <c r="K621" s="6" t="s">
        <v>212</v>
      </c>
      <c r="L621" s="14" t="s">
        <v>1767</v>
      </c>
      <c r="M621" s="6">
        <v>27112805</v>
      </c>
      <c r="O621" s="6">
        <v>22270</v>
      </c>
      <c r="P621" s="6" t="s">
        <v>1768</v>
      </c>
      <c r="Q621" s="6" t="s">
        <v>212</v>
      </c>
      <c r="S621" s="8">
        <v>0.59524582857712305</v>
      </c>
      <c r="T621" s="8">
        <v>52.262291428856102</v>
      </c>
      <c r="U621" s="8">
        <v>62.262291428856102</v>
      </c>
      <c r="V621" s="8">
        <v>29.049165715424699</v>
      </c>
    </row>
    <row r="622" spans="1:22" hidden="1" x14ac:dyDescent="0.3">
      <c r="A622" s="5">
        <v>897667</v>
      </c>
      <c r="B622" s="5" t="s">
        <v>1769</v>
      </c>
      <c r="C622" s="5" t="s">
        <v>1683</v>
      </c>
      <c r="D622" s="5">
        <v>60240</v>
      </c>
      <c r="G622" s="19" t="b">
        <f t="shared" si="9"/>
        <v>0</v>
      </c>
      <c r="H622" s="19" t="b">
        <f>AND(J622&lt;&gt;"", T622&gt;75)</f>
        <v>0</v>
      </c>
      <c r="I622" s="6">
        <v>290664</v>
      </c>
      <c r="J622" s="6">
        <v>60240</v>
      </c>
      <c r="K622" s="6" t="s">
        <v>212</v>
      </c>
      <c r="L622" s="14" t="s">
        <v>1770</v>
      </c>
      <c r="M622" s="6">
        <v>47121900</v>
      </c>
      <c r="O622" s="6">
        <v>22820</v>
      </c>
      <c r="P622" s="6" t="s">
        <v>1771</v>
      </c>
      <c r="Q622" s="6" t="s">
        <v>212</v>
      </c>
      <c r="S622" s="8">
        <v>0.55882611213322197</v>
      </c>
      <c r="T622" s="8">
        <v>60.441305606661103</v>
      </c>
      <c r="U622" s="8">
        <v>66.441305606661103</v>
      </c>
      <c r="V622" s="8">
        <v>27.765222426644499</v>
      </c>
    </row>
    <row r="623" spans="1:22" x14ac:dyDescent="0.3">
      <c r="A623" s="5">
        <v>897668</v>
      </c>
      <c r="B623" s="5" t="s">
        <v>1772</v>
      </c>
      <c r="C623" s="5" t="s">
        <v>1683</v>
      </c>
      <c r="D623" s="5">
        <v>92260</v>
      </c>
      <c r="G623" s="19" t="b">
        <f t="shared" si="9"/>
        <v>0</v>
      </c>
      <c r="H623" s="19" t="b">
        <f>AND(J623&lt;&gt;"", T623&gt;75)</f>
        <v>0</v>
      </c>
      <c r="J623" s="6"/>
    </row>
    <row r="624" spans="1:22" x14ac:dyDescent="0.3">
      <c r="A624" s="5">
        <v>897669</v>
      </c>
      <c r="B624" s="5" t="s">
        <v>1773</v>
      </c>
      <c r="C624" s="5" t="s">
        <v>1683</v>
      </c>
      <c r="D624" s="5">
        <v>60170</v>
      </c>
      <c r="G624" s="19" t="b">
        <f t="shared" si="9"/>
        <v>0</v>
      </c>
      <c r="H624" s="19" t="b">
        <f>AND(J624&lt;&gt;"", T624&gt;75)</f>
        <v>0</v>
      </c>
      <c r="J624" s="6"/>
    </row>
    <row r="625" spans="1:22" x14ac:dyDescent="0.3">
      <c r="A625" s="5">
        <v>897670</v>
      </c>
      <c r="B625" s="5" t="s">
        <v>1774</v>
      </c>
      <c r="C625" s="5" t="s">
        <v>1151</v>
      </c>
      <c r="D625" s="5" t="s">
        <v>1775</v>
      </c>
      <c r="G625" s="19" t="b">
        <f t="shared" si="9"/>
        <v>0</v>
      </c>
      <c r="H625" s="19" t="b">
        <f>AND(J625&lt;&gt;"", T625&gt;75)</f>
        <v>0</v>
      </c>
      <c r="J625" s="6"/>
    </row>
    <row r="626" spans="1:22" x14ac:dyDescent="0.3">
      <c r="A626" s="5">
        <v>897671</v>
      </c>
      <c r="B626" s="5" t="s">
        <v>1722</v>
      </c>
      <c r="C626" s="5" t="s">
        <v>179</v>
      </c>
      <c r="D626" s="5" t="s">
        <v>1723</v>
      </c>
      <c r="G626" s="19" t="b">
        <f t="shared" si="9"/>
        <v>0</v>
      </c>
      <c r="H626" s="19" t="b">
        <f>AND(J626&lt;&gt;"", T626&gt;75)</f>
        <v>0</v>
      </c>
      <c r="J626" s="6"/>
    </row>
    <row r="627" spans="1:22" hidden="1" x14ac:dyDescent="0.3">
      <c r="A627" s="5">
        <v>897672</v>
      </c>
      <c r="B627" s="5" t="s">
        <v>1753</v>
      </c>
      <c r="C627" s="5" t="s">
        <v>1683</v>
      </c>
      <c r="D627" s="5">
        <v>39220</v>
      </c>
      <c r="G627" s="19" t="b">
        <f t="shared" si="9"/>
        <v>0</v>
      </c>
      <c r="H627" s="19" t="b">
        <f>AND(J627&lt;&gt;"", T627&gt;75)</f>
        <v>0</v>
      </c>
      <c r="I627" s="6">
        <v>288470</v>
      </c>
      <c r="J627" s="6">
        <v>39220</v>
      </c>
      <c r="K627" s="6" t="s">
        <v>212</v>
      </c>
      <c r="L627" s="14" t="s">
        <v>1754</v>
      </c>
      <c r="M627" s="6">
        <v>26112002</v>
      </c>
      <c r="O627" s="6">
        <v>22289</v>
      </c>
      <c r="P627" s="6" t="s">
        <v>1755</v>
      </c>
      <c r="Q627" s="6" t="s">
        <v>212</v>
      </c>
      <c r="S627" s="8">
        <v>0.52240882115184595</v>
      </c>
      <c r="T627" s="7">
        <v>58.620441057592302</v>
      </c>
      <c r="U627" s="7">
        <v>64.620441057592302</v>
      </c>
      <c r="V627" s="7">
        <v>20.481764230369201</v>
      </c>
    </row>
    <row r="628" spans="1:22" hidden="1" x14ac:dyDescent="0.3">
      <c r="A628" s="5">
        <v>897673</v>
      </c>
      <c r="B628" s="5" t="s">
        <v>1776</v>
      </c>
      <c r="C628" s="5" t="s">
        <v>179</v>
      </c>
      <c r="D628" s="5" t="s">
        <v>1777</v>
      </c>
      <c r="G628" s="19" t="b">
        <f t="shared" si="9"/>
        <v>0</v>
      </c>
      <c r="H628" s="19" t="b">
        <f>AND(J628&lt;&gt;"", T628&gt;75)</f>
        <v>1</v>
      </c>
      <c r="I628" s="6">
        <v>299179</v>
      </c>
      <c r="J628" s="11" t="s">
        <v>1778</v>
      </c>
      <c r="K628" s="6" t="s">
        <v>593</v>
      </c>
      <c r="L628" s="14" t="s">
        <v>1779</v>
      </c>
      <c r="M628" s="6">
        <v>39121400</v>
      </c>
      <c r="O628" s="6">
        <v>40104</v>
      </c>
      <c r="P628" s="6" t="s">
        <v>1780</v>
      </c>
      <c r="Q628" s="6" t="s">
        <v>593</v>
      </c>
      <c r="S628" s="8">
        <v>0.71594341336652301</v>
      </c>
      <c r="T628" s="8">
        <v>93.297170668326103</v>
      </c>
      <c r="U628" s="8">
        <v>89.297170668326103</v>
      </c>
      <c r="V628" s="8">
        <v>74.188682673304697</v>
      </c>
    </row>
    <row r="629" spans="1:22" x14ac:dyDescent="0.3">
      <c r="A629" s="5">
        <v>897674</v>
      </c>
      <c r="B629" s="5" t="s">
        <v>1722</v>
      </c>
      <c r="C629" s="5" t="s">
        <v>179</v>
      </c>
      <c r="D629" s="5" t="s">
        <v>1723</v>
      </c>
      <c r="G629" s="19" t="b">
        <f t="shared" si="9"/>
        <v>0</v>
      </c>
      <c r="H629" s="19" t="b">
        <f>AND(J629&lt;&gt;"", T629&gt;75)</f>
        <v>0</v>
      </c>
      <c r="J629" s="6"/>
    </row>
    <row r="630" spans="1:22" x14ac:dyDescent="0.3">
      <c r="A630" s="5">
        <v>897675</v>
      </c>
      <c r="B630" s="5" t="s">
        <v>1781</v>
      </c>
      <c r="C630" s="5" t="s">
        <v>1094</v>
      </c>
      <c r="D630" s="5" t="s">
        <v>1782</v>
      </c>
      <c r="G630" s="19" t="b">
        <f t="shared" si="9"/>
        <v>1</v>
      </c>
      <c r="H630" s="19" t="b">
        <f>AND(J630&lt;&gt;"", T630&gt;75)</f>
        <v>0</v>
      </c>
      <c r="J630" s="6"/>
      <c r="Q630" s="6" t="s">
        <v>115</v>
      </c>
      <c r="R630" s="6" t="s">
        <v>1094</v>
      </c>
      <c r="U630" s="7">
        <v>60</v>
      </c>
    </row>
    <row r="631" spans="1:22" x14ac:dyDescent="0.3">
      <c r="A631" s="5">
        <v>897676</v>
      </c>
      <c r="B631" s="5" t="s">
        <v>1783</v>
      </c>
      <c r="C631" s="5" t="s">
        <v>1094</v>
      </c>
      <c r="D631" s="5" t="s">
        <v>1782</v>
      </c>
      <c r="G631" s="19" t="b">
        <f t="shared" si="9"/>
        <v>1</v>
      </c>
      <c r="H631" s="19" t="b">
        <f>AND(J631&lt;&gt;"", T631&gt;75)</f>
        <v>0</v>
      </c>
      <c r="J631" s="6"/>
      <c r="Q631" s="6" t="s">
        <v>115</v>
      </c>
      <c r="R631" s="6" t="s">
        <v>1094</v>
      </c>
      <c r="U631" s="7">
        <v>60</v>
      </c>
    </row>
    <row r="632" spans="1:22" hidden="1" x14ac:dyDescent="0.3">
      <c r="A632" s="5">
        <v>897677</v>
      </c>
      <c r="B632" s="5" t="s">
        <v>1784</v>
      </c>
      <c r="C632" s="5" t="s">
        <v>179</v>
      </c>
      <c r="D632" s="5" t="s">
        <v>1785</v>
      </c>
      <c r="G632" s="19" t="b">
        <f t="shared" si="9"/>
        <v>0</v>
      </c>
      <c r="H632" s="19" t="b">
        <f>AND(J632&lt;&gt;"", T632&gt;75)</f>
        <v>1</v>
      </c>
      <c r="I632" s="6">
        <v>302148</v>
      </c>
      <c r="J632" s="11" t="s">
        <v>1786</v>
      </c>
      <c r="K632" s="6" t="s">
        <v>593</v>
      </c>
      <c r="L632" s="14" t="s">
        <v>1787</v>
      </c>
      <c r="M632" s="6">
        <v>39121447</v>
      </c>
      <c r="O632" s="6">
        <v>37749</v>
      </c>
      <c r="P632" s="6" t="s">
        <v>1788</v>
      </c>
      <c r="Q632" s="6" t="s">
        <v>593</v>
      </c>
      <c r="S632" s="8">
        <v>0.66018236110792305</v>
      </c>
      <c r="T632" s="8">
        <v>80.509118055396101</v>
      </c>
      <c r="U632" s="8">
        <v>80.509118055396101</v>
      </c>
      <c r="V632" s="8">
        <v>57.036472221584702</v>
      </c>
    </row>
    <row r="633" spans="1:22" x14ac:dyDescent="0.3">
      <c r="A633" s="5">
        <v>897678</v>
      </c>
      <c r="B633" s="5" t="s">
        <v>1738</v>
      </c>
      <c r="C633" s="5" t="s">
        <v>179</v>
      </c>
      <c r="D633" s="5" t="s">
        <v>1739</v>
      </c>
      <c r="G633" s="19" t="b">
        <f t="shared" si="9"/>
        <v>0</v>
      </c>
      <c r="H633" s="19" t="b">
        <f>AND(J633&lt;&gt;"", T633&gt;75)</f>
        <v>0</v>
      </c>
      <c r="J633" s="6"/>
    </row>
    <row r="634" spans="1:22" hidden="1" x14ac:dyDescent="0.3">
      <c r="A634" s="5">
        <v>897679</v>
      </c>
      <c r="B634" s="5" t="s">
        <v>1753</v>
      </c>
      <c r="C634" s="5" t="s">
        <v>1683</v>
      </c>
      <c r="D634" s="5">
        <v>39220</v>
      </c>
      <c r="G634" s="19" t="b">
        <f t="shared" si="9"/>
        <v>0</v>
      </c>
      <c r="H634" s="19" t="b">
        <f>AND(J634&lt;&gt;"", T634&gt;75)</f>
        <v>0</v>
      </c>
      <c r="I634" s="6">
        <v>288470</v>
      </c>
      <c r="J634" s="6">
        <v>39220</v>
      </c>
      <c r="K634" s="6" t="s">
        <v>212</v>
      </c>
      <c r="L634" s="14" t="s">
        <v>1754</v>
      </c>
      <c r="M634" s="6">
        <v>26112002</v>
      </c>
      <c r="O634" s="6">
        <v>22289</v>
      </c>
      <c r="P634" s="6" t="s">
        <v>1755</v>
      </c>
      <c r="Q634" s="6" t="s">
        <v>212</v>
      </c>
      <c r="S634" s="8">
        <v>0.52240882115184595</v>
      </c>
      <c r="T634" s="7">
        <v>58.620441057592302</v>
      </c>
      <c r="U634" s="7">
        <v>64.620441057592302</v>
      </c>
      <c r="V634" s="7">
        <v>20.481764230369201</v>
      </c>
    </row>
    <row r="635" spans="1:22" x14ac:dyDescent="0.3">
      <c r="A635" s="5">
        <v>897680</v>
      </c>
      <c r="B635" s="5" t="s">
        <v>1722</v>
      </c>
      <c r="C635" s="5" t="s">
        <v>179</v>
      </c>
      <c r="D635" s="5" t="s">
        <v>1723</v>
      </c>
      <c r="G635" s="19" t="b">
        <f t="shared" si="9"/>
        <v>0</v>
      </c>
      <c r="H635" s="19" t="b">
        <f>AND(J635&lt;&gt;"", T635&gt;75)</f>
        <v>0</v>
      </c>
      <c r="J635" s="6"/>
    </row>
    <row r="636" spans="1:22" x14ac:dyDescent="0.3">
      <c r="A636" s="5">
        <v>897681</v>
      </c>
      <c r="B636" s="5" t="s">
        <v>1745</v>
      </c>
      <c r="C636" s="5" t="s">
        <v>1151</v>
      </c>
      <c r="D636" s="5" t="s">
        <v>1746</v>
      </c>
      <c r="G636" s="19" t="b">
        <f t="shared" si="9"/>
        <v>0</v>
      </c>
      <c r="H636" s="19" t="b">
        <f>AND(J636&lt;&gt;"", T636&gt;75)</f>
        <v>0</v>
      </c>
      <c r="J636" s="6"/>
    </row>
    <row r="637" spans="1:22" x14ac:dyDescent="0.3">
      <c r="A637" s="5">
        <v>897682</v>
      </c>
      <c r="B637" s="5" t="s">
        <v>1747</v>
      </c>
      <c r="C637" s="5" t="s">
        <v>1119</v>
      </c>
      <c r="D637" s="5" t="s">
        <v>1748</v>
      </c>
      <c r="G637" s="19" t="b">
        <f t="shared" si="9"/>
        <v>1</v>
      </c>
      <c r="H637" s="19" t="b">
        <f>AND(J637&lt;&gt;"", T637&gt;75)</f>
        <v>0</v>
      </c>
      <c r="J637" s="6"/>
      <c r="Q637" s="6" t="s">
        <v>618</v>
      </c>
      <c r="R637" s="6" t="s">
        <v>1119</v>
      </c>
      <c r="U637" s="7">
        <v>60</v>
      </c>
    </row>
    <row r="638" spans="1:22" x14ac:dyDescent="0.3">
      <c r="A638" s="5">
        <v>897683</v>
      </c>
      <c r="B638" s="5" t="s">
        <v>1789</v>
      </c>
      <c r="C638" s="5" t="s">
        <v>1189</v>
      </c>
      <c r="D638" s="5" t="s">
        <v>1790</v>
      </c>
      <c r="E638" s="5" t="s">
        <v>1791</v>
      </c>
      <c r="G638" s="19" t="b">
        <f t="shared" si="9"/>
        <v>1</v>
      </c>
      <c r="H638" s="19" t="b">
        <f>AND(J638&lt;&gt;"", T638&gt;75)</f>
        <v>0</v>
      </c>
      <c r="J638" s="6"/>
      <c r="Q638" s="6" t="s">
        <v>376</v>
      </c>
      <c r="R638" s="6" t="s">
        <v>1189</v>
      </c>
      <c r="U638" s="7">
        <v>60</v>
      </c>
    </row>
    <row r="639" spans="1:22" x14ac:dyDescent="0.3">
      <c r="A639" s="5">
        <v>897684</v>
      </c>
      <c r="B639" s="5" t="s">
        <v>1792</v>
      </c>
      <c r="C639" s="5" t="s">
        <v>1065</v>
      </c>
      <c r="D639" s="5" t="s">
        <v>1793</v>
      </c>
      <c r="E639" s="5" t="s">
        <v>1794</v>
      </c>
      <c r="G639" s="19" t="b">
        <f t="shared" si="9"/>
        <v>1</v>
      </c>
      <c r="H639" s="19" t="b">
        <f>AND(J639&lt;&gt;"", T639&gt;75)</f>
        <v>0</v>
      </c>
      <c r="J639" s="6"/>
      <c r="Q639" s="6" t="s">
        <v>1196</v>
      </c>
      <c r="R639" s="6" t="s">
        <v>1197</v>
      </c>
      <c r="U639" s="7">
        <v>60</v>
      </c>
    </row>
    <row r="640" spans="1:22" hidden="1" x14ac:dyDescent="0.3">
      <c r="A640" s="5">
        <v>897685</v>
      </c>
      <c r="B640" s="5" t="s">
        <v>1795</v>
      </c>
      <c r="C640" s="5" t="s">
        <v>1189</v>
      </c>
      <c r="D640" s="5" t="s">
        <v>1796</v>
      </c>
      <c r="E640" s="5" t="s">
        <v>1797</v>
      </c>
      <c r="G640" s="19" t="b">
        <f t="shared" si="9"/>
        <v>1</v>
      </c>
      <c r="H640" s="19" t="b">
        <f>AND(J640&lt;&gt;"", T640&gt;75)</f>
        <v>1</v>
      </c>
      <c r="I640" s="6">
        <v>337411</v>
      </c>
      <c r="J640" s="11" t="s">
        <v>1796</v>
      </c>
      <c r="K640" s="6" t="s">
        <v>376</v>
      </c>
      <c r="L640" s="13">
        <v>781810370155</v>
      </c>
      <c r="M640" s="6">
        <v>39121432</v>
      </c>
      <c r="N640" s="6" t="s">
        <v>1797</v>
      </c>
      <c r="O640" s="6">
        <v>254683</v>
      </c>
      <c r="P640" s="6" t="s">
        <v>1795</v>
      </c>
      <c r="Q640" s="6" t="s">
        <v>376</v>
      </c>
      <c r="R640" s="6" t="s">
        <v>1189</v>
      </c>
      <c r="S640" s="7">
        <v>0.99999918027038004</v>
      </c>
      <c r="T640" s="7">
        <v>100</v>
      </c>
      <c r="U640" s="7">
        <v>100</v>
      </c>
      <c r="V640" s="7">
        <v>100</v>
      </c>
    </row>
    <row r="641" spans="1:22" hidden="1" x14ac:dyDescent="0.3">
      <c r="A641" s="5">
        <v>897686</v>
      </c>
      <c r="B641" s="5" t="s">
        <v>1795</v>
      </c>
      <c r="C641" s="5" t="s">
        <v>1189</v>
      </c>
      <c r="D641" s="5" t="s">
        <v>1796</v>
      </c>
      <c r="E641" s="5" t="s">
        <v>1797</v>
      </c>
      <c r="G641" s="19" t="b">
        <f t="shared" si="9"/>
        <v>1</v>
      </c>
      <c r="H641" s="19" t="b">
        <f>AND(J641&lt;&gt;"", T641&gt;75)</f>
        <v>1</v>
      </c>
      <c r="I641" s="6">
        <v>337411</v>
      </c>
      <c r="J641" s="11" t="s">
        <v>1796</v>
      </c>
      <c r="K641" s="6" t="s">
        <v>376</v>
      </c>
      <c r="L641" s="13">
        <v>781810370155</v>
      </c>
      <c r="M641" s="6">
        <v>39121432</v>
      </c>
      <c r="N641" s="6" t="s">
        <v>1797</v>
      </c>
      <c r="O641" s="6">
        <v>254683</v>
      </c>
      <c r="P641" s="6" t="s">
        <v>1795</v>
      </c>
      <c r="Q641" s="6" t="s">
        <v>376</v>
      </c>
      <c r="R641" s="6" t="s">
        <v>1189</v>
      </c>
      <c r="S641" s="7">
        <v>0.99999918027038004</v>
      </c>
      <c r="T641" s="7">
        <v>100</v>
      </c>
      <c r="U641" s="7">
        <v>100</v>
      </c>
      <c r="V641" s="7">
        <v>100</v>
      </c>
    </row>
    <row r="642" spans="1:22" hidden="1" x14ac:dyDescent="0.3">
      <c r="A642" s="5">
        <v>897687</v>
      </c>
      <c r="B642" s="5" t="s">
        <v>1798</v>
      </c>
      <c r="C642" s="5" t="s">
        <v>1799</v>
      </c>
      <c r="D642" s="5" t="s">
        <v>1800</v>
      </c>
      <c r="E642" s="5" t="s">
        <v>1801</v>
      </c>
      <c r="G642" s="19" t="b">
        <f t="shared" si="9"/>
        <v>0</v>
      </c>
      <c r="H642" s="19" t="b">
        <f>AND(J642&lt;&gt;"", T642&gt;75)</f>
        <v>1</v>
      </c>
      <c r="I642" s="6">
        <v>337341</v>
      </c>
      <c r="J642" s="11" t="s">
        <v>1802</v>
      </c>
      <c r="K642" s="6" t="s">
        <v>247</v>
      </c>
      <c r="L642" s="13">
        <v>781747903907</v>
      </c>
      <c r="M642" s="6">
        <v>39121312</v>
      </c>
      <c r="N642" s="6" t="s">
        <v>1801</v>
      </c>
      <c r="O642" s="6">
        <v>254076</v>
      </c>
      <c r="P642" s="6" t="s">
        <v>1803</v>
      </c>
      <c r="Q642" s="6" t="s">
        <v>247</v>
      </c>
      <c r="S642" s="7">
        <v>0.93889664860722999</v>
      </c>
      <c r="T642" s="7">
        <v>100</v>
      </c>
      <c r="U642" s="7">
        <v>100</v>
      </c>
      <c r="V642" s="7">
        <v>100</v>
      </c>
    </row>
    <row r="643" spans="1:22" hidden="1" x14ac:dyDescent="0.3">
      <c r="A643" s="5">
        <v>897688</v>
      </c>
      <c r="B643" s="5" t="s">
        <v>1804</v>
      </c>
      <c r="C643" s="5" t="s">
        <v>1189</v>
      </c>
      <c r="D643" s="5" t="s">
        <v>1805</v>
      </c>
      <c r="E643" s="5" t="s">
        <v>1806</v>
      </c>
      <c r="G643" s="19" t="b">
        <f t="shared" ref="G643:G706" si="10">(R643&lt;&gt;"")</f>
        <v>1</v>
      </c>
      <c r="H643" s="19" t="b">
        <f>AND(J643&lt;&gt;"", T643&gt;75)</f>
        <v>1</v>
      </c>
      <c r="I643" s="6">
        <v>337471</v>
      </c>
      <c r="J643" s="11" t="s">
        <v>1805</v>
      </c>
      <c r="K643" s="6" t="s">
        <v>376</v>
      </c>
      <c r="L643" s="13">
        <v>781810370254</v>
      </c>
      <c r="M643" s="6">
        <v>39121405</v>
      </c>
      <c r="N643" s="6" t="s">
        <v>1806</v>
      </c>
      <c r="O643" s="6">
        <v>254696</v>
      </c>
      <c r="P643" s="6" t="s">
        <v>1804</v>
      </c>
      <c r="Q643" s="6" t="s">
        <v>376</v>
      </c>
      <c r="R643" s="6" t="s">
        <v>1189</v>
      </c>
      <c r="S643" s="8">
        <v>0.99999891558439002</v>
      </c>
      <c r="T643" s="7">
        <v>100</v>
      </c>
      <c r="U643" s="7">
        <v>100</v>
      </c>
      <c r="V643" s="7">
        <v>100</v>
      </c>
    </row>
    <row r="644" spans="1:22" hidden="1" x14ac:dyDescent="0.3">
      <c r="A644" s="5">
        <v>897689</v>
      </c>
      <c r="B644" s="5" t="s">
        <v>1798</v>
      </c>
      <c r="C644" s="5" t="s">
        <v>1799</v>
      </c>
      <c r="D644" s="5" t="s">
        <v>1800</v>
      </c>
      <c r="E644" s="5" t="s">
        <v>1801</v>
      </c>
      <c r="G644" s="19" t="b">
        <f t="shared" si="10"/>
        <v>0</v>
      </c>
      <c r="H644" s="19" t="b">
        <f>AND(J644&lt;&gt;"", T644&gt;75)</f>
        <v>1</v>
      </c>
      <c r="I644" s="6">
        <v>337341</v>
      </c>
      <c r="J644" s="11" t="s">
        <v>1802</v>
      </c>
      <c r="K644" s="6" t="s">
        <v>247</v>
      </c>
      <c r="L644" s="13">
        <v>781747903907</v>
      </c>
      <c r="M644" s="6">
        <v>39121312</v>
      </c>
      <c r="N644" s="6" t="s">
        <v>1801</v>
      </c>
      <c r="O644" s="6">
        <v>254076</v>
      </c>
      <c r="P644" s="6" t="s">
        <v>1803</v>
      </c>
      <c r="Q644" s="6" t="s">
        <v>247</v>
      </c>
      <c r="S644" s="8">
        <v>0.938893952974866</v>
      </c>
      <c r="T644" s="7">
        <v>100</v>
      </c>
      <c r="U644" s="7">
        <v>100</v>
      </c>
      <c r="V644" s="7">
        <v>100</v>
      </c>
    </row>
    <row r="645" spans="1:22" hidden="1" x14ac:dyDescent="0.3">
      <c r="A645" s="5">
        <v>897691</v>
      </c>
      <c r="B645" s="5" t="s">
        <v>1807</v>
      </c>
      <c r="C645" s="5" t="s">
        <v>1065</v>
      </c>
      <c r="D645" s="5" t="s">
        <v>1808</v>
      </c>
      <c r="E645" s="5" t="s">
        <v>1809</v>
      </c>
      <c r="G645" s="19" t="b">
        <f t="shared" si="10"/>
        <v>0</v>
      </c>
      <c r="H645" s="19" t="b">
        <f>AND(J645&lt;&gt;"", T645&gt;75)</f>
        <v>0</v>
      </c>
      <c r="I645" s="6">
        <v>338074</v>
      </c>
      <c r="J645" s="6" t="s">
        <v>1810</v>
      </c>
      <c r="K645" s="6" t="s">
        <v>308</v>
      </c>
      <c r="L645" s="13">
        <v>662277002004</v>
      </c>
      <c r="M645" s="6">
        <v>39121312</v>
      </c>
      <c r="N645" s="6" t="s">
        <v>1809</v>
      </c>
      <c r="O645" s="6">
        <v>256329</v>
      </c>
      <c r="P645" s="6" t="s">
        <v>1811</v>
      </c>
      <c r="Q645" s="6" t="s">
        <v>308</v>
      </c>
      <c r="S645" s="8">
        <v>0.89938057207734501</v>
      </c>
      <c r="T645" s="8">
        <v>26.246385149839099</v>
      </c>
      <c r="U645" s="8">
        <v>97.734514301933601</v>
      </c>
      <c r="V645" s="8">
        <v>38.711692732711697</v>
      </c>
    </row>
    <row r="646" spans="1:22" hidden="1" x14ac:dyDescent="0.3">
      <c r="A646" s="5">
        <v>897692</v>
      </c>
      <c r="B646" s="5" t="s">
        <v>1812</v>
      </c>
      <c r="C646" s="5" t="s">
        <v>1813</v>
      </c>
      <c r="D646" s="5" t="s">
        <v>1814</v>
      </c>
      <c r="E646" s="5" t="s">
        <v>1815</v>
      </c>
      <c r="G646" s="19" t="b">
        <f t="shared" si="10"/>
        <v>0</v>
      </c>
      <c r="H646" s="19" t="b">
        <f>AND(J646&lt;&gt;"", T646&gt;75)</f>
        <v>1</v>
      </c>
      <c r="I646" s="6">
        <v>341254</v>
      </c>
      <c r="J646" s="11" t="s">
        <v>1816</v>
      </c>
      <c r="K646" s="6" t="s">
        <v>1817</v>
      </c>
      <c r="L646" s="13">
        <v>702316503663</v>
      </c>
      <c r="M646" s="6">
        <v>31162906</v>
      </c>
      <c r="N646" s="6" t="s">
        <v>1815</v>
      </c>
      <c r="O646" s="6">
        <v>265799</v>
      </c>
      <c r="P646" s="6" t="s">
        <v>1818</v>
      </c>
      <c r="Q646" s="6" t="s">
        <v>1817</v>
      </c>
      <c r="S646" s="8">
        <v>0.97580858096850998</v>
      </c>
      <c r="T646" s="7">
        <v>100</v>
      </c>
      <c r="U646" s="8">
        <v>65.290429048425494</v>
      </c>
      <c r="V646" s="7">
        <v>100</v>
      </c>
    </row>
    <row r="647" spans="1:22" hidden="1" x14ac:dyDescent="0.3">
      <c r="A647" s="5">
        <v>897693</v>
      </c>
      <c r="B647" s="5" t="s">
        <v>1807</v>
      </c>
      <c r="C647" s="5" t="s">
        <v>1065</v>
      </c>
      <c r="D647" s="5" t="s">
        <v>1808</v>
      </c>
      <c r="E647" s="5" t="s">
        <v>1809</v>
      </c>
      <c r="G647" s="19" t="b">
        <f t="shared" si="10"/>
        <v>0</v>
      </c>
      <c r="H647" s="19" t="b">
        <f>AND(J647&lt;&gt;"", T647&gt;75)</f>
        <v>0</v>
      </c>
      <c r="I647" s="6">
        <v>338074</v>
      </c>
      <c r="J647" s="6" t="s">
        <v>1810</v>
      </c>
      <c r="K647" s="6" t="s">
        <v>308</v>
      </c>
      <c r="L647" s="13">
        <v>662277002004</v>
      </c>
      <c r="M647" s="6">
        <v>39121312</v>
      </c>
      <c r="N647" s="6" t="s">
        <v>1809</v>
      </c>
      <c r="O647" s="6">
        <v>256329</v>
      </c>
      <c r="P647" s="6" t="s">
        <v>1811</v>
      </c>
      <c r="Q647" s="6" t="s">
        <v>308</v>
      </c>
      <c r="S647" s="8">
        <v>0.89938057207734501</v>
      </c>
      <c r="T647" s="8">
        <v>26.246385149839099</v>
      </c>
      <c r="U647" s="8">
        <v>97.734514301933601</v>
      </c>
      <c r="V647" s="8">
        <v>38.711692732711697</v>
      </c>
    </row>
    <row r="648" spans="1:22" hidden="1" x14ac:dyDescent="0.3">
      <c r="A648" s="5">
        <v>897694</v>
      </c>
      <c r="B648" s="5" t="s">
        <v>1807</v>
      </c>
      <c r="C648" s="5" t="s">
        <v>1065</v>
      </c>
      <c r="D648" s="5" t="s">
        <v>1808</v>
      </c>
      <c r="E648" s="5" t="s">
        <v>1809</v>
      </c>
      <c r="G648" s="19" t="b">
        <f t="shared" si="10"/>
        <v>0</v>
      </c>
      <c r="H648" s="19" t="b">
        <f>AND(J648&lt;&gt;"", T648&gt;75)</f>
        <v>0</v>
      </c>
      <c r="I648" s="6">
        <v>338074</v>
      </c>
      <c r="J648" s="6" t="s">
        <v>1810</v>
      </c>
      <c r="K648" s="6" t="s">
        <v>308</v>
      </c>
      <c r="L648" s="13">
        <v>662277002004</v>
      </c>
      <c r="M648" s="6">
        <v>39121312</v>
      </c>
      <c r="N648" s="6" t="s">
        <v>1809</v>
      </c>
      <c r="O648" s="6">
        <v>256329</v>
      </c>
      <c r="P648" s="6" t="s">
        <v>1811</v>
      </c>
      <c r="Q648" s="6" t="s">
        <v>308</v>
      </c>
      <c r="S648" s="8">
        <v>0.89938057207734501</v>
      </c>
      <c r="T648" s="8">
        <v>26.246385149839099</v>
      </c>
      <c r="U648" s="8">
        <v>97.734514301933601</v>
      </c>
      <c r="V648" s="8">
        <v>38.711692732711697</v>
      </c>
    </row>
    <row r="649" spans="1:22" hidden="1" x14ac:dyDescent="0.3">
      <c r="A649" s="5">
        <v>897695</v>
      </c>
      <c r="B649" s="5" t="s">
        <v>1819</v>
      </c>
      <c r="C649" s="5" t="s">
        <v>1045</v>
      </c>
      <c r="D649" s="5" t="s">
        <v>1820</v>
      </c>
      <c r="E649" s="5" t="s">
        <v>1821</v>
      </c>
      <c r="G649" s="19" t="b">
        <f t="shared" si="10"/>
        <v>0</v>
      </c>
      <c r="H649" s="19" t="b">
        <f>AND(J649&lt;&gt;"", T649&gt;75)</f>
        <v>1</v>
      </c>
      <c r="I649" s="6">
        <v>339118</v>
      </c>
      <c r="J649" s="11" t="s">
        <v>1820</v>
      </c>
      <c r="K649" s="6" t="s">
        <v>303</v>
      </c>
      <c r="L649" s="13">
        <v>783510523503</v>
      </c>
      <c r="M649" s="6">
        <v>39131710</v>
      </c>
      <c r="N649" s="6" t="s">
        <v>1821</v>
      </c>
      <c r="O649" s="6">
        <v>259628</v>
      </c>
      <c r="P649" s="6" t="s">
        <v>1819</v>
      </c>
      <c r="Q649" s="6" t="s">
        <v>303</v>
      </c>
      <c r="S649" s="8">
        <v>0.99999807558770204</v>
      </c>
      <c r="T649" s="8">
        <v>92.499903779385093</v>
      </c>
      <c r="U649" s="8">
        <v>94.499903779385093</v>
      </c>
      <c r="V649" s="7">
        <v>100</v>
      </c>
    </row>
    <row r="650" spans="1:22" hidden="1" x14ac:dyDescent="0.3">
      <c r="A650" s="5">
        <v>897698</v>
      </c>
      <c r="B650" s="5" t="s">
        <v>1822</v>
      </c>
      <c r="C650" s="5" t="s">
        <v>1065</v>
      </c>
      <c r="D650" s="5" t="s">
        <v>1823</v>
      </c>
      <c r="E650" s="5" t="s">
        <v>1824</v>
      </c>
      <c r="G650" s="19" t="b">
        <f t="shared" si="10"/>
        <v>0</v>
      </c>
      <c r="H650" s="19" t="b">
        <f>AND(J650&lt;&gt;"", T650&gt;75)</f>
        <v>1</v>
      </c>
      <c r="I650" s="6">
        <v>337873</v>
      </c>
      <c r="J650" s="11" t="s">
        <v>1823</v>
      </c>
      <c r="K650" s="6" t="s">
        <v>308</v>
      </c>
      <c r="L650" s="13">
        <v>786189104325</v>
      </c>
      <c r="M650" s="6">
        <v>39121308</v>
      </c>
      <c r="N650" s="6" t="s">
        <v>1824</v>
      </c>
      <c r="O650" s="6">
        <v>256433</v>
      </c>
      <c r="P650" s="6" t="s">
        <v>1825</v>
      </c>
      <c r="Q650" s="6" t="s">
        <v>308</v>
      </c>
      <c r="S650" s="8">
        <v>0.83253640767621095</v>
      </c>
      <c r="T650" s="8">
        <v>79.126820383810497</v>
      </c>
      <c r="U650" s="8">
        <v>83.126820383810497</v>
      </c>
      <c r="V650" s="8">
        <v>85.5072815352422</v>
      </c>
    </row>
    <row r="651" spans="1:22" x14ac:dyDescent="0.3">
      <c r="A651" s="5">
        <v>897699</v>
      </c>
      <c r="B651" s="5" t="s">
        <v>1826</v>
      </c>
      <c r="C651" s="5" t="s">
        <v>1065</v>
      </c>
      <c r="D651" s="5">
        <v>457</v>
      </c>
      <c r="E651" s="5" t="s">
        <v>1827</v>
      </c>
      <c r="G651" s="19" t="b">
        <f t="shared" si="10"/>
        <v>1</v>
      </c>
      <c r="H651" s="19" t="b">
        <f>AND(J651&lt;&gt;"", T651&gt;75)</f>
        <v>0</v>
      </c>
      <c r="J651" s="6"/>
      <c r="Q651" s="6" t="s">
        <v>39</v>
      </c>
      <c r="R651" s="6" t="s">
        <v>36</v>
      </c>
      <c r="U651" s="7">
        <v>60</v>
      </c>
    </row>
    <row r="652" spans="1:22" x14ac:dyDescent="0.3">
      <c r="A652" s="5">
        <v>897700</v>
      </c>
      <c r="B652" s="5" t="s">
        <v>1826</v>
      </c>
      <c r="C652" s="5" t="s">
        <v>1065</v>
      </c>
      <c r="D652" s="5">
        <v>457</v>
      </c>
      <c r="E652" s="5" t="s">
        <v>1827</v>
      </c>
      <c r="G652" s="19" t="b">
        <f t="shared" si="10"/>
        <v>1</v>
      </c>
      <c r="H652" s="19" t="b">
        <f>AND(J652&lt;&gt;"", T652&gt;75)</f>
        <v>0</v>
      </c>
      <c r="J652" s="6"/>
      <c r="Q652" s="6" t="s">
        <v>39</v>
      </c>
      <c r="R652" s="6" t="s">
        <v>36</v>
      </c>
      <c r="U652" s="7">
        <v>60</v>
      </c>
    </row>
    <row r="653" spans="1:22" hidden="1" x14ac:dyDescent="0.3">
      <c r="A653" s="5">
        <v>897701</v>
      </c>
      <c r="B653" s="5" t="s">
        <v>1828</v>
      </c>
      <c r="C653" s="5" t="s">
        <v>1080</v>
      </c>
      <c r="D653" s="5" t="s">
        <v>1829</v>
      </c>
      <c r="E653" s="5" t="s">
        <v>1830</v>
      </c>
      <c r="G653" s="19" t="b">
        <f t="shared" si="10"/>
        <v>0</v>
      </c>
      <c r="H653" s="19" t="b">
        <f>AND(J653&lt;&gt;"", T653&gt;75)</f>
        <v>0</v>
      </c>
      <c r="I653" s="6">
        <v>335827</v>
      </c>
      <c r="J653" s="6" t="s">
        <v>1829</v>
      </c>
      <c r="K653" s="6" t="s">
        <v>379</v>
      </c>
      <c r="L653" s="14" t="s">
        <v>1831</v>
      </c>
      <c r="M653" s="6">
        <v>39131700</v>
      </c>
      <c r="N653" s="6" t="s">
        <v>1830</v>
      </c>
      <c r="O653" s="6">
        <v>252645</v>
      </c>
      <c r="P653" s="6" t="s">
        <v>1832</v>
      </c>
      <c r="Q653" s="6" t="s">
        <v>379</v>
      </c>
      <c r="S653" s="8">
        <v>0.98249356182805503</v>
      </c>
      <c r="T653" s="8">
        <v>18.6303446622595</v>
      </c>
      <c r="U653" s="8">
        <v>17.164517624131001</v>
      </c>
      <c r="V653" s="8">
        <v>29.3333047399056</v>
      </c>
    </row>
    <row r="654" spans="1:22" hidden="1" x14ac:dyDescent="0.3">
      <c r="A654" s="5">
        <v>897702</v>
      </c>
      <c r="B654" s="5" t="s">
        <v>1822</v>
      </c>
      <c r="C654" s="5" t="s">
        <v>1065</v>
      </c>
      <c r="D654" s="5" t="s">
        <v>1823</v>
      </c>
      <c r="E654" s="5" t="s">
        <v>1824</v>
      </c>
      <c r="G654" s="19" t="b">
        <f t="shared" si="10"/>
        <v>0</v>
      </c>
      <c r="H654" s="19" t="b">
        <f>AND(J654&lt;&gt;"", T654&gt;75)</f>
        <v>1</v>
      </c>
      <c r="I654" s="6">
        <v>337873</v>
      </c>
      <c r="J654" s="11" t="s">
        <v>1823</v>
      </c>
      <c r="K654" s="6" t="s">
        <v>308</v>
      </c>
      <c r="L654" s="13">
        <v>786189104325</v>
      </c>
      <c r="M654" s="6">
        <v>39121308</v>
      </c>
      <c r="N654" s="6" t="s">
        <v>1824</v>
      </c>
      <c r="O654" s="6">
        <v>256433</v>
      </c>
      <c r="P654" s="6" t="s">
        <v>1825</v>
      </c>
      <c r="Q654" s="6" t="s">
        <v>308</v>
      </c>
      <c r="S654" s="8">
        <v>0.83253640767621095</v>
      </c>
      <c r="T654" s="8">
        <v>79.126820383810497</v>
      </c>
      <c r="U654" s="8">
        <v>83.126820383810497</v>
      </c>
      <c r="V654" s="8">
        <v>85.5072815352422</v>
      </c>
    </row>
    <row r="655" spans="1:22" x14ac:dyDescent="0.3">
      <c r="A655" s="5">
        <v>897703</v>
      </c>
      <c r="B655" s="5" t="s">
        <v>1833</v>
      </c>
      <c r="C655" s="5" t="s">
        <v>1065</v>
      </c>
      <c r="D655" s="5" t="s">
        <v>1834</v>
      </c>
      <c r="E655" s="5" t="s">
        <v>1835</v>
      </c>
      <c r="G655" s="19" t="b">
        <f t="shared" si="10"/>
        <v>0</v>
      </c>
      <c r="H655" s="19" t="b">
        <f>AND(J655&lt;&gt;"", T655&gt;75)</f>
        <v>0</v>
      </c>
      <c r="J655" s="6"/>
    </row>
    <row r="656" spans="1:22" x14ac:dyDescent="0.3">
      <c r="A656" s="5">
        <v>897704</v>
      </c>
      <c r="B656" s="5" t="s">
        <v>1836</v>
      </c>
      <c r="C656" s="5" t="s">
        <v>1017</v>
      </c>
      <c r="D656" s="5" t="s">
        <v>1837</v>
      </c>
      <c r="E656" s="5" t="s">
        <v>1838</v>
      </c>
      <c r="G656" s="19" t="b">
        <f t="shared" si="10"/>
        <v>0</v>
      </c>
      <c r="H656" s="19" t="b">
        <f>AND(J656&lt;&gt;"", T656&gt;75)</f>
        <v>0</v>
      </c>
      <c r="J656" s="6"/>
    </row>
    <row r="657" spans="1:22" hidden="1" x14ac:dyDescent="0.3">
      <c r="A657" s="5">
        <v>897706</v>
      </c>
      <c r="B657" s="5" t="s">
        <v>1839</v>
      </c>
      <c r="C657" s="5" t="s">
        <v>1067</v>
      </c>
      <c r="D657" s="5" t="s">
        <v>1840</v>
      </c>
      <c r="E657" s="5" t="s">
        <v>1841</v>
      </c>
      <c r="G657" s="19" t="b">
        <f t="shared" si="10"/>
        <v>0</v>
      </c>
      <c r="H657" s="19" t="b">
        <f>AND(J657&lt;&gt;"", T657&gt;75)</f>
        <v>1</v>
      </c>
      <c r="I657" s="6">
        <v>338499</v>
      </c>
      <c r="J657" s="11" t="s">
        <v>1842</v>
      </c>
      <c r="K657" s="6" t="s">
        <v>281</v>
      </c>
      <c r="L657" s="13">
        <v>781002174103</v>
      </c>
      <c r="M657" s="6">
        <v>31161528</v>
      </c>
      <c r="N657" s="6" t="s">
        <v>1841</v>
      </c>
      <c r="O657" s="6">
        <v>258079</v>
      </c>
      <c r="P657" s="6" t="s">
        <v>1843</v>
      </c>
      <c r="Q657" s="6" t="s">
        <v>281</v>
      </c>
      <c r="S657" s="8">
        <v>0.96334941575530697</v>
      </c>
      <c r="T657" s="8">
        <v>95.667470787765296</v>
      </c>
      <c r="U657" s="8">
        <v>61.667470787765303</v>
      </c>
      <c r="V657" s="7">
        <v>100</v>
      </c>
    </row>
    <row r="658" spans="1:22" x14ac:dyDescent="0.3">
      <c r="A658" s="5">
        <v>897707</v>
      </c>
      <c r="B658" s="5" t="s">
        <v>1844</v>
      </c>
      <c r="C658" s="5" t="s">
        <v>1813</v>
      </c>
      <c r="D658" s="5" t="s">
        <v>1845</v>
      </c>
      <c r="E658" s="5" t="s">
        <v>1846</v>
      </c>
      <c r="G658" s="19" t="b">
        <f t="shared" si="10"/>
        <v>1</v>
      </c>
      <c r="H658" s="19" t="b">
        <f>AND(J658&lt;&gt;"", T658&gt;75)</f>
        <v>0</v>
      </c>
      <c r="J658" s="6"/>
      <c r="Q658" s="6" t="s">
        <v>194</v>
      </c>
      <c r="R658" s="6" t="s">
        <v>190</v>
      </c>
      <c r="U658" s="7">
        <v>60</v>
      </c>
    </row>
    <row r="659" spans="1:22" x14ac:dyDescent="0.3">
      <c r="A659" s="5">
        <v>897708</v>
      </c>
      <c r="B659" s="5" t="s">
        <v>1847</v>
      </c>
      <c r="C659" s="5" t="s">
        <v>1065</v>
      </c>
      <c r="D659" s="5" t="s">
        <v>1848</v>
      </c>
      <c r="E659" s="5" t="s">
        <v>1849</v>
      </c>
      <c r="G659" s="19" t="b">
        <f t="shared" si="10"/>
        <v>0</v>
      </c>
      <c r="H659" s="19" t="b">
        <f>AND(J659&lt;&gt;"", T659&gt;75)</f>
        <v>0</v>
      </c>
      <c r="J659" s="6"/>
    </row>
    <row r="660" spans="1:22" hidden="1" x14ac:dyDescent="0.3">
      <c r="A660" s="5">
        <v>897709</v>
      </c>
      <c r="B660" s="5" t="s">
        <v>1850</v>
      </c>
      <c r="C660" s="5" t="s">
        <v>1067</v>
      </c>
      <c r="D660" s="5" t="s">
        <v>1851</v>
      </c>
      <c r="E660" s="5" t="s">
        <v>1852</v>
      </c>
      <c r="G660" s="19" t="b">
        <f t="shared" si="10"/>
        <v>0</v>
      </c>
      <c r="H660" s="19" t="b">
        <f>AND(J660&lt;&gt;"", T660&gt;75)</f>
        <v>1</v>
      </c>
      <c r="I660" s="6">
        <v>335722</v>
      </c>
      <c r="J660" s="11" t="s">
        <v>1851</v>
      </c>
      <c r="K660" s="6" t="s">
        <v>281</v>
      </c>
      <c r="L660" s="13">
        <v>781002281702</v>
      </c>
      <c r="M660" s="6">
        <v>39121700</v>
      </c>
      <c r="N660" s="6" t="s">
        <v>1852</v>
      </c>
      <c r="O660" s="6">
        <v>257928</v>
      </c>
      <c r="P660" s="6" t="s">
        <v>1853</v>
      </c>
      <c r="Q660" s="6" t="s">
        <v>281</v>
      </c>
      <c r="S660" s="8">
        <v>0.963063131074409</v>
      </c>
      <c r="T660" s="8">
        <v>85.653156553720393</v>
      </c>
      <c r="U660" s="8">
        <v>89.653156553720393</v>
      </c>
      <c r="V660" s="7">
        <v>100</v>
      </c>
    </row>
    <row r="661" spans="1:22" hidden="1" x14ac:dyDescent="0.3">
      <c r="A661" s="5">
        <v>897710</v>
      </c>
      <c r="B661" s="5" t="s">
        <v>1854</v>
      </c>
      <c r="C661" s="5" t="s">
        <v>1094</v>
      </c>
      <c r="D661" s="5" t="s">
        <v>1855</v>
      </c>
      <c r="E661" s="5" t="s">
        <v>1856</v>
      </c>
      <c r="G661" s="19" t="b">
        <f t="shared" si="10"/>
        <v>1</v>
      </c>
      <c r="H661" s="19" t="b">
        <f>AND(J661&lt;&gt;"", T661&gt;75)</f>
        <v>1</v>
      </c>
      <c r="I661" s="6">
        <v>340655</v>
      </c>
      <c r="J661" s="11" t="s">
        <v>1857</v>
      </c>
      <c r="K661" s="6" t="s">
        <v>115</v>
      </c>
      <c r="L661" s="14" t="s">
        <v>1858</v>
      </c>
      <c r="M661" s="6">
        <v>39121703</v>
      </c>
      <c r="N661" s="6" t="s">
        <v>1856</v>
      </c>
      <c r="O661" s="6">
        <v>264320</v>
      </c>
      <c r="P661" s="6" t="s">
        <v>1859</v>
      </c>
      <c r="Q661" s="6" t="s">
        <v>115</v>
      </c>
      <c r="R661" s="6" t="s">
        <v>1094</v>
      </c>
      <c r="S661" s="8">
        <v>0.98364749955668995</v>
      </c>
      <c r="T661" s="7">
        <v>100</v>
      </c>
      <c r="U661" s="7">
        <v>100</v>
      </c>
      <c r="V661" s="7">
        <v>100</v>
      </c>
    </row>
    <row r="662" spans="1:22" x14ac:dyDescent="0.3">
      <c r="A662" s="5">
        <v>897711</v>
      </c>
      <c r="B662" s="5" t="s">
        <v>1064</v>
      </c>
      <c r="C662" s="5" t="s">
        <v>1065</v>
      </c>
      <c r="D662" s="5">
        <v>451</v>
      </c>
      <c r="E662" s="5" t="s">
        <v>268</v>
      </c>
      <c r="G662" s="19" t="b">
        <f t="shared" si="10"/>
        <v>1</v>
      </c>
      <c r="H662" s="19" t="b">
        <f>AND(J662&lt;&gt;"", T662&gt;75)</f>
        <v>0</v>
      </c>
      <c r="J662" s="6"/>
      <c r="Q662" s="6" t="s">
        <v>39</v>
      </c>
      <c r="R662" s="6" t="s">
        <v>36</v>
      </c>
      <c r="U662" s="7">
        <v>60</v>
      </c>
    </row>
    <row r="663" spans="1:22" x14ac:dyDescent="0.3">
      <c r="A663" s="5">
        <v>897712</v>
      </c>
      <c r="B663" s="5" t="s">
        <v>1207</v>
      </c>
      <c r="C663" s="5" t="s">
        <v>36</v>
      </c>
      <c r="D663" s="5" t="s">
        <v>1208</v>
      </c>
      <c r="G663" s="19" t="b">
        <f t="shared" si="10"/>
        <v>1</v>
      </c>
      <c r="H663" s="19" t="b">
        <f>AND(J663&lt;&gt;"", T663&gt;75)</f>
        <v>0</v>
      </c>
      <c r="J663" s="6"/>
      <c r="Q663" s="6" t="s">
        <v>39</v>
      </c>
      <c r="R663" s="6" t="s">
        <v>36</v>
      </c>
      <c r="U663" s="7">
        <v>60</v>
      </c>
    </row>
    <row r="664" spans="1:22" x14ac:dyDescent="0.3">
      <c r="A664" s="5">
        <v>897713</v>
      </c>
      <c r="B664" s="5" t="s">
        <v>1860</v>
      </c>
      <c r="C664" s="5" t="s">
        <v>1076</v>
      </c>
      <c r="D664" s="5" t="s">
        <v>1861</v>
      </c>
      <c r="E664" s="5" t="s">
        <v>1862</v>
      </c>
      <c r="G664" s="19" t="b">
        <f t="shared" si="10"/>
        <v>1</v>
      </c>
      <c r="H664" s="19" t="b">
        <f>AND(J664&lt;&gt;"", T664&gt;75)</f>
        <v>0</v>
      </c>
      <c r="J664" s="6"/>
      <c r="Q664" s="6" t="s">
        <v>39</v>
      </c>
      <c r="R664" s="6" t="s">
        <v>36</v>
      </c>
      <c r="U664" s="7">
        <v>60</v>
      </c>
    </row>
    <row r="665" spans="1:22" x14ac:dyDescent="0.3">
      <c r="A665" s="5">
        <v>897714</v>
      </c>
      <c r="B665" s="5" t="s">
        <v>1863</v>
      </c>
      <c r="C665" s="5" t="s">
        <v>1864</v>
      </c>
      <c r="D665" s="5" t="s">
        <v>1865</v>
      </c>
      <c r="G665" s="19" t="b">
        <f t="shared" si="10"/>
        <v>0</v>
      </c>
      <c r="H665" s="19" t="b">
        <f>AND(J665&lt;&gt;"", T665&gt;75)</f>
        <v>0</v>
      </c>
      <c r="J665" s="6"/>
    </row>
    <row r="666" spans="1:22" hidden="1" x14ac:dyDescent="0.3">
      <c r="A666" s="5">
        <v>897715</v>
      </c>
      <c r="B666" s="5" t="s">
        <v>1866</v>
      </c>
      <c r="C666" s="5" t="s">
        <v>1065</v>
      </c>
      <c r="D666" s="5" t="s">
        <v>1867</v>
      </c>
      <c r="E666" s="5" t="s">
        <v>1868</v>
      </c>
      <c r="G666" s="19" t="b">
        <f t="shared" si="10"/>
        <v>0</v>
      </c>
      <c r="H666" s="19" t="b">
        <f>AND(J666&lt;&gt;"", T666&gt;75)</f>
        <v>1</v>
      </c>
      <c r="I666" s="6">
        <v>338077</v>
      </c>
      <c r="J666" s="11" t="s">
        <v>1869</v>
      </c>
      <c r="K666" s="6" t="s">
        <v>308</v>
      </c>
      <c r="L666" s="13">
        <v>662277001977</v>
      </c>
      <c r="M666" s="6">
        <v>39121312</v>
      </c>
      <c r="N666" s="6" t="s">
        <v>1868</v>
      </c>
      <c r="O666" s="6">
        <v>256336</v>
      </c>
      <c r="P666" s="6" t="s">
        <v>1870</v>
      </c>
      <c r="Q666" s="6" t="s">
        <v>308</v>
      </c>
      <c r="S666" s="8">
        <v>0.94678576613341803</v>
      </c>
      <c r="T666" s="8">
        <v>94.839288306670895</v>
      </c>
      <c r="U666" s="8">
        <v>94.839288306670895</v>
      </c>
      <c r="V666" s="7">
        <v>100</v>
      </c>
    </row>
    <row r="667" spans="1:22" x14ac:dyDescent="0.3">
      <c r="A667" s="5">
        <v>897716</v>
      </c>
      <c r="B667" s="5" t="s">
        <v>1871</v>
      </c>
      <c r="C667" s="5" t="s">
        <v>1864</v>
      </c>
      <c r="D667" s="5" t="s">
        <v>1872</v>
      </c>
      <c r="E667" s="5" t="s">
        <v>1873</v>
      </c>
      <c r="G667" s="19" t="b">
        <f t="shared" si="10"/>
        <v>0</v>
      </c>
      <c r="H667" s="19" t="b">
        <f>AND(J667&lt;&gt;"", T667&gt;75)</f>
        <v>0</v>
      </c>
      <c r="J667" s="6"/>
    </row>
    <row r="668" spans="1:22" x14ac:dyDescent="0.3">
      <c r="A668" s="5">
        <v>897717</v>
      </c>
      <c r="B668" s="5" t="s">
        <v>1357</v>
      </c>
      <c r="C668" s="5" t="s">
        <v>1065</v>
      </c>
      <c r="D668" s="5">
        <v>465</v>
      </c>
      <c r="E668" s="5" t="s">
        <v>1358</v>
      </c>
      <c r="G668" s="19" t="b">
        <f t="shared" si="10"/>
        <v>1</v>
      </c>
      <c r="H668" s="19" t="b">
        <f>AND(J668&lt;&gt;"", T668&gt;75)</f>
        <v>0</v>
      </c>
      <c r="J668" s="6"/>
      <c r="Q668" s="6" t="s">
        <v>39</v>
      </c>
      <c r="R668" s="6" t="s">
        <v>36</v>
      </c>
      <c r="U668" s="7">
        <v>60</v>
      </c>
    </row>
    <row r="669" spans="1:22" x14ac:dyDescent="0.3">
      <c r="A669" s="5">
        <v>897718</v>
      </c>
      <c r="B669" s="5" t="s">
        <v>1874</v>
      </c>
      <c r="C669" s="5" t="s">
        <v>1864</v>
      </c>
      <c r="D669" s="5" t="s">
        <v>1875</v>
      </c>
      <c r="E669" s="5" t="s">
        <v>1876</v>
      </c>
      <c r="G669" s="19" t="b">
        <f t="shared" si="10"/>
        <v>0</v>
      </c>
      <c r="H669" s="19" t="b">
        <f>AND(J669&lt;&gt;"", T669&gt;75)</f>
        <v>0</v>
      </c>
      <c r="J669" s="6"/>
    </row>
    <row r="670" spans="1:22" x14ac:dyDescent="0.3">
      <c r="A670" s="5">
        <v>897719</v>
      </c>
      <c r="B670" s="5" t="s">
        <v>1877</v>
      </c>
      <c r="C670" s="5" t="s">
        <v>1813</v>
      </c>
      <c r="D670" s="5" t="s">
        <v>1878</v>
      </c>
      <c r="E670" s="5" t="s">
        <v>1879</v>
      </c>
      <c r="G670" s="19" t="b">
        <f t="shared" si="10"/>
        <v>1</v>
      </c>
      <c r="H670" s="19" t="b">
        <f>AND(J670&lt;&gt;"", T670&gt;75)</f>
        <v>0</v>
      </c>
      <c r="J670" s="6"/>
      <c r="Q670" s="6" t="s">
        <v>194</v>
      </c>
      <c r="R670" s="6" t="s">
        <v>190</v>
      </c>
      <c r="U670" s="7">
        <v>60</v>
      </c>
    </row>
    <row r="671" spans="1:22" x14ac:dyDescent="0.3">
      <c r="A671" s="5">
        <v>897720</v>
      </c>
      <c r="B671" s="5" t="s">
        <v>1880</v>
      </c>
      <c r="C671" s="5" t="s">
        <v>1864</v>
      </c>
      <c r="D671" s="5" t="s">
        <v>1881</v>
      </c>
      <c r="E671" s="5" t="s">
        <v>1882</v>
      </c>
      <c r="G671" s="19" t="b">
        <f t="shared" si="10"/>
        <v>0</v>
      </c>
      <c r="H671" s="19" t="b">
        <f>AND(J671&lt;&gt;"", T671&gt;75)</f>
        <v>0</v>
      </c>
      <c r="J671" s="6"/>
    </row>
    <row r="672" spans="1:22" x14ac:dyDescent="0.3">
      <c r="A672" s="5">
        <v>897721</v>
      </c>
      <c r="B672" s="5" t="s">
        <v>1883</v>
      </c>
      <c r="C672" s="5" t="s">
        <v>1065</v>
      </c>
      <c r="D672" s="5">
        <v>455</v>
      </c>
      <c r="E672" s="5" t="s">
        <v>438</v>
      </c>
      <c r="G672" s="19" t="b">
        <f t="shared" si="10"/>
        <v>1</v>
      </c>
      <c r="H672" s="19" t="b">
        <f>AND(J672&lt;&gt;"", T672&gt;75)</f>
        <v>0</v>
      </c>
      <c r="J672" s="6"/>
      <c r="Q672" s="6" t="s">
        <v>39</v>
      </c>
      <c r="R672" s="6" t="s">
        <v>36</v>
      </c>
      <c r="U672" s="7">
        <v>60</v>
      </c>
    </row>
    <row r="673" spans="1:22" x14ac:dyDescent="0.3">
      <c r="A673" s="5">
        <v>897722</v>
      </c>
      <c r="B673" s="5" t="s">
        <v>1884</v>
      </c>
      <c r="C673" s="5" t="s">
        <v>1864</v>
      </c>
      <c r="D673" s="5" t="s">
        <v>1885</v>
      </c>
      <c r="E673" s="5" t="s">
        <v>1886</v>
      </c>
      <c r="G673" s="19" t="b">
        <f t="shared" si="10"/>
        <v>1</v>
      </c>
      <c r="H673" s="19" t="b">
        <f>AND(J673&lt;&gt;"", T673&gt;75)</f>
        <v>0</v>
      </c>
      <c r="J673" s="6"/>
      <c r="Q673" s="6" t="s">
        <v>33</v>
      </c>
      <c r="R673" s="6" t="s">
        <v>34</v>
      </c>
      <c r="U673" s="7">
        <v>60</v>
      </c>
    </row>
    <row r="674" spans="1:22" x14ac:dyDescent="0.3">
      <c r="A674" s="5">
        <v>897723</v>
      </c>
      <c r="B674" s="5" t="s">
        <v>1887</v>
      </c>
      <c r="C674" s="5" t="s">
        <v>1813</v>
      </c>
      <c r="D674" s="5" t="s">
        <v>1888</v>
      </c>
      <c r="E674" s="5" t="s">
        <v>1889</v>
      </c>
      <c r="G674" s="19" t="b">
        <f t="shared" si="10"/>
        <v>1</v>
      </c>
      <c r="H674" s="19" t="b">
        <f>AND(J674&lt;&gt;"", T674&gt;75)</f>
        <v>0</v>
      </c>
      <c r="J674" s="6"/>
      <c r="Q674" s="6" t="s">
        <v>194</v>
      </c>
      <c r="R674" s="6" t="s">
        <v>190</v>
      </c>
      <c r="U674" s="7">
        <v>60</v>
      </c>
    </row>
    <row r="675" spans="1:22" x14ac:dyDescent="0.3">
      <c r="A675" s="5">
        <v>897724</v>
      </c>
      <c r="B675" s="5" t="s">
        <v>1357</v>
      </c>
      <c r="C675" s="5" t="s">
        <v>1065</v>
      </c>
      <c r="D675" s="5">
        <v>465</v>
      </c>
      <c r="E675" s="5" t="s">
        <v>1358</v>
      </c>
      <c r="G675" s="19" t="b">
        <f t="shared" si="10"/>
        <v>1</v>
      </c>
      <c r="H675" s="19" t="b">
        <f>AND(J675&lt;&gt;"", T675&gt;75)</f>
        <v>0</v>
      </c>
      <c r="J675" s="6"/>
      <c r="Q675" s="6" t="s">
        <v>39</v>
      </c>
      <c r="R675" s="6" t="s">
        <v>36</v>
      </c>
      <c r="U675" s="7">
        <v>60</v>
      </c>
    </row>
    <row r="676" spans="1:22" x14ac:dyDescent="0.3">
      <c r="A676" s="5">
        <v>897725</v>
      </c>
      <c r="B676" s="5" t="s">
        <v>1092</v>
      </c>
      <c r="G676" s="19" t="b">
        <f t="shared" si="10"/>
        <v>0</v>
      </c>
      <c r="H676" s="19" t="b">
        <f>AND(J676&lt;&gt;"", T676&gt;75)</f>
        <v>0</v>
      </c>
      <c r="J676" s="6"/>
    </row>
    <row r="677" spans="1:22" hidden="1" x14ac:dyDescent="0.3">
      <c r="A677" s="5">
        <v>897726</v>
      </c>
      <c r="B677" s="5" t="s">
        <v>1866</v>
      </c>
      <c r="C677" s="5" t="s">
        <v>1065</v>
      </c>
      <c r="D677" s="5" t="s">
        <v>1867</v>
      </c>
      <c r="E677" s="5" t="s">
        <v>1868</v>
      </c>
      <c r="G677" s="19" t="b">
        <f t="shared" si="10"/>
        <v>0</v>
      </c>
      <c r="H677" s="19" t="b">
        <f>AND(J677&lt;&gt;"", T677&gt;75)</f>
        <v>1</v>
      </c>
      <c r="I677" s="6">
        <v>338077</v>
      </c>
      <c r="J677" s="11" t="s">
        <v>1869</v>
      </c>
      <c r="K677" s="6" t="s">
        <v>308</v>
      </c>
      <c r="L677" s="13">
        <v>662277001977</v>
      </c>
      <c r="M677" s="6">
        <v>39121312</v>
      </c>
      <c r="N677" s="6" t="s">
        <v>1868</v>
      </c>
      <c r="O677" s="6">
        <v>256336</v>
      </c>
      <c r="P677" s="6" t="s">
        <v>1870</v>
      </c>
      <c r="Q677" s="6" t="s">
        <v>308</v>
      </c>
      <c r="S677" s="8">
        <v>0.94678576613341803</v>
      </c>
      <c r="T677" s="8">
        <v>94.839288306670895</v>
      </c>
      <c r="U677" s="8">
        <v>94.839288306670895</v>
      </c>
      <c r="V677" s="7">
        <v>100</v>
      </c>
    </row>
    <row r="678" spans="1:22" x14ac:dyDescent="0.3">
      <c r="A678" s="5">
        <v>897727</v>
      </c>
      <c r="B678" s="5" t="s">
        <v>1890</v>
      </c>
      <c r="C678" s="5" t="s">
        <v>1130</v>
      </c>
      <c r="D678" s="5" t="s">
        <v>1891</v>
      </c>
      <c r="E678" s="5" t="s">
        <v>1892</v>
      </c>
      <c r="G678" s="19" t="b">
        <f t="shared" si="10"/>
        <v>0</v>
      </c>
      <c r="H678" s="19" t="b">
        <f>AND(J678&lt;&gt;"", T678&gt;75)</f>
        <v>0</v>
      </c>
      <c r="J678" s="6"/>
    </row>
    <row r="679" spans="1:22" x14ac:dyDescent="0.3">
      <c r="A679" s="5">
        <v>897728</v>
      </c>
      <c r="B679" s="5" t="s">
        <v>1893</v>
      </c>
      <c r="C679" s="5" t="s">
        <v>1813</v>
      </c>
      <c r="D679" s="5" t="s">
        <v>1894</v>
      </c>
      <c r="E679" s="5" t="s">
        <v>1895</v>
      </c>
      <c r="G679" s="19" t="b">
        <f t="shared" si="10"/>
        <v>1</v>
      </c>
      <c r="H679" s="19" t="b">
        <f>AND(J679&lt;&gt;"", T679&gt;75)</f>
        <v>0</v>
      </c>
      <c r="J679" s="6"/>
      <c r="Q679" s="6" t="s">
        <v>39</v>
      </c>
      <c r="R679" s="6" t="s">
        <v>36</v>
      </c>
      <c r="U679" s="7">
        <v>50</v>
      </c>
    </row>
    <row r="680" spans="1:22" x14ac:dyDescent="0.3">
      <c r="A680" s="5">
        <v>897729</v>
      </c>
      <c r="B680" s="5" t="s">
        <v>1896</v>
      </c>
      <c r="C680" s="5" t="s">
        <v>1813</v>
      </c>
      <c r="D680" s="5" t="s">
        <v>1897</v>
      </c>
      <c r="E680" s="5" t="s">
        <v>1898</v>
      </c>
      <c r="G680" s="19" t="b">
        <f t="shared" si="10"/>
        <v>1</v>
      </c>
      <c r="H680" s="19" t="b">
        <f>AND(J680&lt;&gt;"", T680&gt;75)</f>
        <v>0</v>
      </c>
      <c r="J680" s="6"/>
      <c r="Q680" s="6" t="s">
        <v>194</v>
      </c>
      <c r="R680" s="6" t="s">
        <v>190</v>
      </c>
      <c r="U680" s="7">
        <v>60</v>
      </c>
    </row>
    <row r="681" spans="1:22" x14ac:dyDescent="0.3">
      <c r="A681" s="5">
        <v>897730</v>
      </c>
      <c r="B681" s="5" t="s">
        <v>1899</v>
      </c>
      <c r="C681" s="5" t="s">
        <v>1065</v>
      </c>
      <c r="D681" s="5">
        <v>462</v>
      </c>
      <c r="E681" s="5" t="s">
        <v>1265</v>
      </c>
      <c r="G681" s="19" t="b">
        <f t="shared" si="10"/>
        <v>1</v>
      </c>
      <c r="H681" s="19" t="b">
        <f>AND(J681&lt;&gt;"", T681&gt;75)</f>
        <v>0</v>
      </c>
      <c r="J681" s="6"/>
      <c r="Q681" s="6" t="s">
        <v>39</v>
      </c>
      <c r="R681" s="6" t="s">
        <v>36</v>
      </c>
      <c r="U681" s="7">
        <v>60</v>
      </c>
    </row>
    <row r="682" spans="1:22" hidden="1" x14ac:dyDescent="0.3">
      <c r="A682" s="5">
        <v>897731</v>
      </c>
      <c r="B682" s="5" t="s">
        <v>1900</v>
      </c>
      <c r="C682" s="5" t="s">
        <v>1065</v>
      </c>
      <c r="D682" s="5" t="s">
        <v>1901</v>
      </c>
      <c r="E682" s="5" t="s">
        <v>1902</v>
      </c>
      <c r="G682" s="19" t="b">
        <f t="shared" si="10"/>
        <v>0</v>
      </c>
      <c r="H682" s="19" t="b">
        <f>AND(J682&lt;&gt;"", T682&gt;75)</f>
        <v>1</v>
      </c>
      <c r="I682" s="6">
        <v>338030</v>
      </c>
      <c r="J682" s="11" t="s">
        <v>1903</v>
      </c>
      <c r="K682" s="6" t="s">
        <v>308</v>
      </c>
      <c r="L682" s="13">
        <v>784564744517</v>
      </c>
      <c r="M682" s="6">
        <v>39131708</v>
      </c>
      <c r="N682" s="6" t="s">
        <v>1902</v>
      </c>
      <c r="O682" s="6">
        <v>256305</v>
      </c>
      <c r="P682" s="6" t="s">
        <v>1904</v>
      </c>
      <c r="Q682" s="6" t="s">
        <v>308</v>
      </c>
      <c r="S682" s="7">
        <v>0.95482401720473098</v>
      </c>
      <c r="T682" s="8">
        <v>95.241200860236503</v>
      </c>
      <c r="U682" s="8">
        <v>95.241200860236503</v>
      </c>
      <c r="V682" s="7">
        <v>100</v>
      </c>
    </row>
    <row r="683" spans="1:22" x14ac:dyDescent="0.3">
      <c r="A683" s="5">
        <v>897732</v>
      </c>
      <c r="B683" s="5" t="s">
        <v>1905</v>
      </c>
      <c r="C683" s="5" t="s">
        <v>1065</v>
      </c>
      <c r="D683" s="5">
        <v>452</v>
      </c>
      <c r="E683" s="5" t="s">
        <v>1906</v>
      </c>
      <c r="G683" s="19" t="b">
        <f t="shared" si="10"/>
        <v>1</v>
      </c>
      <c r="H683" s="19" t="b">
        <f>AND(J683&lt;&gt;"", T683&gt;75)</f>
        <v>0</v>
      </c>
      <c r="J683" s="6"/>
      <c r="Q683" s="6" t="s">
        <v>39</v>
      </c>
      <c r="R683" s="6" t="s">
        <v>36</v>
      </c>
      <c r="U683" s="7">
        <v>60</v>
      </c>
    </row>
    <row r="684" spans="1:22" x14ac:dyDescent="0.3">
      <c r="A684" s="5">
        <v>897733</v>
      </c>
      <c r="B684" s="5" t="s">
        <v>1907</v>
      </c>
      <c r="C684" s="5" t="s">
        <v>1557</v>
      </c>
      <c r="D684" s="5" t="s">
        <v>1908</v>
      </c>
      <c r="E684" s="5" t="s">
        <v>1909</v>
      </c>
      <c r="G684" s="19" t="b">
        <f t="shared" si="10"/>
        <v>1</v>
      </c>
      <c r="H684" s="19" t="b">
        <f>AND(J684&lt;&gt;"", T684&gt;75)</f>
        <v>0</v>
      </c>
      <c r="J684" s="6"/>
      <c r="Q684" s="6" t="s">
        <v>1910</v>
      </c>
      <c r="R684" s="6" t="s">
        <v>1911</v>
      </c>
      <c r="U684" s="7">
        <v>50</v>
      </c>
    </row>
    <row r="685" spans="1:22" x14ac:dyDescent="0.3">
      <c r="A685" s="5">
        <v>897734</v>
      </c>
      <c r="B685" s="5" t="s">
        <v>1912</v>
      </c>
      <c r="C685" s="5" t="s">
        <v>1557</v>
      </c>
      <c r="D685" s="5" t="s">
        <v>1913</v>
      </c>
      <c r="E685" s="5" t="s">
        <v>1914</v>
      </c>
      <c r="G685" s="19" t="b">
        <f t="shared" si="10"/>
        <v>1</v>
      </c>
      <c r="H685" s="19" t="b">
        <f>AND(J685&lt;&gt;"", T685&gt;75)</f>
        <v>0</v>
      </c>
      <c r="J685" s="6"/>
      <c r="Q685" s="6" t="s">
        <v>1910</v>
      </c>
      <c r="R685" s="6" t="s">
        <v>1911</v>
      </c>
      <c r="U685" s="7">
        <v>50</v>
      </c>
    </row>
    <row r="686" spans="1:22" x14ac:dyDescent="0.3">
      <c r="A686" s="5">
        <v>897735</v>
      </c>
      <c r="B686" s="5" t="s">
        <v>1915</v>
      </c>
      <c r="C686" s="5" t="s">
        <v>1076</v>
      </c>
      <c r="D686" s="5" t="s">
        <v>1916</v>
      </c>
      <c r="E686" s="5" t="s">
        <v>1917</v>
      </c>
      <c r="G686" s="19" t="b">
        <f t="shared" si="10"/>
        <v>0</v>
      </c>
      <c r="H686" s="19" t="b">
        <f>AND(J686&lt;&gt;"", T686&gt;75)</f>
        <v>0</v>
      </c>
      <c r="J686" s="6"/>
    </row>
    <row r="687" spans="1:22" x14ac:dyDescent="0.3">
      <c r="A687" s="5">
        <v>897736</v>
      </c>
      <c r="B687" s="5" t="s">
        <v>1918</v>
      </c>
      <c r="C687" s="5" t="s">
        <v>1076</v>
      </c>
      <c r="D687" s="5" t="s">
        <v>1919</v>
      </c>
      <c r="E687" s="5" t="s">
        <v>1920</v>
      </c>
      <c r="G687" s="19" t="b">
        <f t="shared" si="10"/>
        <v>0</v>
      </c>
      <c r="H687" s="19" t="b">
        <f>AND(J687&lt;&gt;"", T687&gt;75)</f>
        <v>0</v>
      </c>
      <c r="J687" s="6"/>
    </row>
    <row r="688" spans="1:22" x14ac:dyDescent="0.3">
      <c r="A688" s="5">
        <v>897737</v>
      </c>
      <c r="B688" s="5" t="s">
        <v>1921</v>
      </c>
      <c r="C688" s="5" t="s">
        <v>1065</v>
      </c>
      <c r="D688" s="5">
        <v>713</v>
      </c>
      <c r="E688" s="5" t="s">
        <v>1922</v>
      </c>
      <c r="G688" s="19" t="b">
        <f t="shared" si="10"/>
        <v>1</v>
      </c>
      <c r="H688" s="19" t="b">
        <f>AND(J688&lt;&gt;"", T688&gt;75)</f>
        <v>0</v>
      </c>
      <c r="J688" s="6"/>
      <c r="Q688" s="6" t="s">
        <v>39</v>
      </c>
      <c r="R688" s="6" t="s">
        <v>1238</v>
      </c>
      <c r="U688" s="7">
        <v>70</v>
      </c>
    </row>
    <row r="689" spans="1:22" x14ac:dyDescent="0.3">
      <c r="A689" s="5">
        <v>897738</v>
      </c>
      <c r="B689" s="5" t="s">
        <v>1923</v>
      </c>
      <c r="C689" s="5" t="s">
        <v>1065</v>
      </c>
      <c r="D689" s="5" t="s">
        <v>1924</v>
      </c>
      <c r="E689" s="5" t="s">
        <v>1925</v>
      </c>
      <c r="G689" s="19" t="b">
        <f t="shared" si="10"/>
        <v>0</v>
      </c>
      <c r="H689" s="19" t="b">
        <f>AND(J689&lt;&gt;"", T689&gt;75)</f>
        <v>0</v>
      </c>
      <c r="J689" s="6"/>
    </row>
    <row r="690" spans="1:22" x14ac:dyDescent="0.3">
      <c r="A690" s="5">
        <v>897739</v>
      </c>
      <c r="B690" s="5" t="s">
        <v>1926</v>
      </c>
      <c r="C690" s="5" t="s">
        <v>1065</v>
      </c>
      <c r="D690" s="5" t="s">
        <v>1927</v>
      </c>
      <c r="E690" s="5" t="s">
        <v>1928</v>
      </c>
      <c r="G690" s="19" t="b">
        <f t="shared" si="10"/>
        <v>0</v>
      </c>
      <c r="H690" s="19" t="b">
        <f>AND(J690&lt;&gt;"", T690&gt;75)</f>
        <v>0</v>
      </c>
      <c r="J690" s="6"/>
    </row>
    <row r="691" spans="1:22" x14ac:dyDescent="0.3">
      <c r="A691" s="5">
        <v>897740</v>
      </c>
      <c r="B691" s="5" t="s">
        <v>1929</v>
      </c>
      <c r="C691" s="5" t="s">
        <v>1065</v>
      </c>
      <c r="D691" s="5">
        <v>51</v>
      </c>
      <c r="E691" s="5" t="s">
        <v>1930</v>
      </c>
      <c r="G691" s="19" t="b">
        <f t="shared" si="10"/>
        <v>1</v>
      </c>
      <c r="H691" s="19" t="b">
        <f>AND(J691&lt;&gt;"", T691&gt;75)</f>
        <v>0</v>
      </c>
      <c r="J691" s="6"/>
      <c r="Q691" s="6" t="s">
        <v>1196</v>
      </c>
      <c r="R691" s="6" t="s">
        <v>1197</v>
      </c>
      <c r="U691" s="7">
        <v>60</v>
      </c>
    </row>
    <row r="692" spans="1:22" x14ac:dyDescent="0.3">
      <c r="A692" s="5">
        <v>897741</v>
      </c>
      <c r="B692" s="5" t="s">
        <v>1931</v>
      </c>
      <c r="C692" s="5" t="s">
        <v>1932</v>
      </c>
      <c r="D692" s="5" t="s">
        <v>1933</v>
      </c>
      <c r="G692" s="19" t="b">
        <f t="shared" si="10"/>
        <v>1</v>
      </c>
      <c r="H692" s="19" t="b">
        <f>AND(J692&lt;&gt;"", T692&gt;75)</f>
        <v>0</v>
      </c>
      <c r="J692" s="6"/>
      <c r="Q692" s="6" t="s">
        <v>867</v>
      </c>
      <c r="R692" s="6" t="s">
        <v>867</v>
      </c>
      <c r="U692" s="7">
        <v>80</v>
      </c>
    </row>
    <row r="693" spans="1:22" hidden="1" x14ac:dyDescent="0.3">
      <c r="A693" s="5">
        <v>897742</v>
      </c>
      <c r="B693" s="5" t="s">
        <v>1934</v>
      </c>
      <c r="C693" s="5" t="s">
        <v>1067</v>
      </c>
      <c r="D693" s="5" t="s">
        <v>1935</v>
      </c>
      <c r="E693" s="5" t="s">
        <v>1936</v>
      </c>
      <c r="G693" s="19" t="b">
        <f t="shared" si="10"/>
        <v>0</v>
      </c>
      <c r="H693" s="19" t="b">
        <f>AND(J693&lt;&gt;"", T693&gt;75)</f>
        <v>1</v>
      </c>
      <c r="I693" s="6">
        <v>213237</v>
      </c>
      <c r="J693" s="11" t="s">
        <v>1935</v>
      </c>
      <c r="K693" s="6" t="s">
        <v>281</v>
      </c>
      <c r="L693" s="13">
        <v>781002252085</v>
      </c>
      <c r="M693" s="6">
        <v>31162101</v>
      </c>
      <c r="O693" s="6">
        <v>217799</v>
      </c>
      <c r="P693" s="6" t="s">
        <v>1937</v>
      </c>
      <c r="Q693" s="6" t="s">
        <v>281</v>
      </c>
      <c r="S693" s="8">
        <v>0.92077889176674699</v>
      </c>
      <c r="T693" s="8">
        <v>83.538944588337301</v>
      </c>
      <c r="U693" s="8">
        <v>87.538944588337301</v>
      </c>
      <c r="V693" s="7">
        <v>100</v>
      </c>
    </row>
    <row r="694" spans="1:22" x14ac:dyDescent="0.3">
      <c r="A694" s="5">
        <v>897743</v>
      </c>
      <c r="B694" s="5" t="s">
        <v>1907</v>
      </c>
      <c r="C694" s="5" t="s">
        <v>1557</v>
      </c>
      <c r="D694" s="5" t="s">
        <v>1908</v>
      </c>
      <c r="E694" s="5" t="s">
        <v>1909</v>
      </c>
      <c r="G694" s="19" t="b">
        <f t="shared" si="10"/>
        <v>1</v>
      </c>
      <c r="H694" s="19" t="b">
        <f>AND(J694&lt;&gt;"", T694&gt;75)</f>
        <v>0</v>
      </c>
      <c r="J694" s="6"/>
      <c r="Q694" s="6" t="s">
        <v>1910</v>
      </c>
      <c r="R694" s="6" t="s">
        <v>1911</v>
      </c>
      <c r="U694" s="7">
        <v>50</v>
      </c>
    </row>
    <row r="695" spans="1:22" x14ac:dyDescent="0.3">
      <c r="A695" s="5">
        <v>897744</v>
      </c>
      <c r="B695" s="5" t="s">
        <v>1938</v>
      </c>
      <c r="C695" s="5" t="s">
        <v>1557</v>
      </c>
      <c r="D695" s="5" t="s">
        <v>1939</v>
      </c>
      <c r="E695" s="5" t="s">
        <v>1940</v>
      </c>
      <c r="G695" s="19" t="b">
        <f t="shared" si="10"/>
        <v>1</v>
      </c>
      <c r="H695" s="19" t="b">
        <f>AND(J695&lt;&gt;"", T695&gt;75)</f>
        <v>0</v>
      </c>
      <c r="J695" s="6"/>
      <c r="Q695" s="6" t="s">
        <v>1910</v>
      </c>
      <c r="R695" s="6" t="s">
        <v>1911</v>
      </c>
      <c r="U695" s="7">
        <v>50</v>
      </c>
    </row>
    <row r="696" spans="1:22" x14ac:dyDescent="0.3">
      <c r="A696" s="5">
        <v>897745</v>
      </c>
      <c r="B696" s="5" t="s">
        <v>1941</v>
      </c>
      <c r="C696" s="5" t="s">
        <v>1065</v>
      </c>
      <c r="D696" s="5">
        <v>461</v>
      </c>
      <c r="E696" s="5" t="s">
        <v>1942</v>
      </c>
      <c r="G696" s="19" t="b">
        <f t="shared" si="10"/>
        <v>1</v>
      </c>
      <c r="H696" s="19" t="b">
        <f>AND(J696&lt;&gt;"", T696&gt;75)</f>
        <v>0</v>
      </c>
      <c r="J696" s="6"/>
      <c r="Q696" s="6" t="s">
        <v>39</v>
      </c>
      <c r="R696" s="6" t="s">
        <v>36</v>
      </c>
      <c r="U696" s="7">
        <v>60</v>
      </c>
    </row>
    <row r="697" spans="1:22" hidden="1" x14ac:dyDescent="0.3">
      <c r="A697" s="5">
        <v>897746</v>
      </c>
      <c r="B697" s="5" t="s">
        <v>1943</v>
      </c>
      <c r="C697" s="5" t="s">
        <v>1017</v>
      </c>
      <c r="D697" s="5" t="s">
        <v>1944</v>
      </c>
      <c r="E697" s="5" t="s">
        <v>1945</v>
      </c>
      <c r="G697" s="19" t="b">
        <f t="shared" si="10"/>
        <v>0</v>
      </c>
      <c r="H697" s="19" t="b">
        <f>AND(J697&lt;&gt;"", T697&gt;75)</f>
        <v>1</v>
      </c>
      <c r="I697" s="6">
        <v>337112</v>
      </c>
      <c r="J697" s="11" t="s">
        <v>1944</v>
      </c>
      <c r="K697" s="6" t="s">
        <v>112</v>
      </c>
      <c r="L697" s="13">
        <v>781011608231</v>
      </c>
      <c r="M697" s="6">
        <v>31162906</v>
      </c>
      <c r="N697" s="6" t="s">
        <v>1945</v>
      </c>
      <c r="O697" s="6">
        <v>253188</v>
      </c>
      <c r="P697" s="6" t="s">
        <v>1946</v>
      </c>
      <c r="Q697" s="6" t="s">
        <v>42</v>
      </c>
      <c r="S697" s="8">
        <v>0.882118312521883</v>
      </c>
      <c r="T697" s="8">
        <v>81.605915626094102</v>
      </c>
      <c r="U697" s="8">
        <v>51.605915626094102</v>
      </c>
      <c r="V697" s="8">
        <v>91.423662504376694</v>
      </c>
    </row>
    <row r="698" spans="1:22" x14ac:dyDescent="0.3">
      <c r="A698" s="5">
        <v>897747</v>
      </c>
      <c r="B698" s="5" t="s">
        <v>1947</v>
      </c>
      <c r="C698" s="5" t="s">
        <v>1094</v>
      </c>
      <c r="D698" s="5" t="s">
        <v>1948</v>
      </c>
      <c r="E698" s="5" t="s">
        <v>1949</v>
      </c>
      <c r="G698" s="19" t="b">
        <f t="shared" si="10"/>
        <v>1</v>
      </c>
      <c r="H698" s="19" t="b">
        <f>AND(J698&lt;&gt;"", T698&gt;75)</f>
        <v>0</v>
      </c>
      <c r="J698" s="6"/>
      <c r="Q698" s="6" t="s">
        <v>115</v>
      </c>
      <c r="R698" s="6" t="s">
        <v>1094</v>
      </c>
      <c r="U698" s="7">
        <v>60</v>
      </c>
    </row>
    <row r="699" spans="1:22" x14ac:dyDescent="0.3">
      <c r="A699" s="5">
        <v>897748</v>
      </c>
      <c r="B699" s="5" t="s">
        <v>1950</v>
      </c>
      <c r="C699" s="5" t="s">
        <v>1065</v>
      </c>
      <c r="D699" s="5">
        <v>55</v>
      </c>
      <c r="E699" s="5" t="s">
        <v>1951</v>
      </c>
      <c r="G699" s="19" t="b">
        <f t="shared" si="10"/>
        <v>1</v>
      </c>
      <c r="H699" s="19" t="b">
        <f>AND(J699&lt;&gt;"", T699&gt;75)</f>
        <v>0</v>
      </c>
      <c r="J699" s="6"/>
      <c r="Q699" s="6" t="s">
        <v>1196</v>
      </c>
      <c r="R699" s="6" t="s">
        <v>1197</v>
      </c>
      <c r="U699" s="7">
        <v>60</v>
      </c>
    </row>
    <row r="700" spans="1:22" hidden="1" x14ac:dyDescent="0.3">
      <c r="A700" s="5">
        <v>897749</v>
      </c>
      <c r="B700" s="5" t="s">
        <v>1952</v>
      </c>
      <c r="C700" s="5" t="s">
        <v>1098</v>
      </c>
      <c r="D700" s="5" t="s">
        <v>1953</v>
      </c>
      <c r="E700" s="5" t="s">
        <v>1954</v>
      </c>
      <c r="G700" s="19" t="b">
        <f t="shared" si="10"/>
        <v>0</v>
      </c>
      <c r="H700" s="19" t="b">
        <f>AND(J700&lt;&gt;"", T700&gt;75)</f>
        <v>1</v>
      </c>
      <c r="I700" s="6">
        <v>336267</v>
      </c>
      <c r="J700" s="11">
        <v>48324511</v>
      </c>
      <c r="K700" s="6" t="s">
        <v>134</v>
      </c>
      <c r="L700" s="14" t="s">
        <v>1955</v>
      </c>
      <c r="M700" s="6">
        <v>27112800</v>
      </c>
      <c r="N700" s="6" t="s">
        <v>1954</v>
      </c>
      <c r="O700" s="6">
        <v>264214</v>
      </c>
      <c r="P700" s="6" t="s">
        <v>1956</v>
      </c>
      <c r="Q700" s="6" t="s">
        <v>134</v>
      </c>
      <c r="S700" s="8">
        <v>0.94250282125745</v>
      </c>
      <c r="T700" s="7">
        <v>94.625141062872501</v>
      </c>
      <c r="U700" s="7">
        <v>94.625141062872501</v>
      </c>
      <c r="V700" s="7">
        <v>100</v>
      </c>
    </row>
    <row r="701" spans="1:22" hidden="1" x14ac:dyDescent="0.3">
      <c r="A701" s="5">
        <v>897750</v>
      </c>
      <c r="B701" s="5" t="s">
        <v>1957</v>
      </c>
      <c r="C701" s="5" t="s">
        <v>1067</v>
      </c>
      <c r="D701" s="5" t="s">
        <v>1958</v>
      </c>
      <c r="E701" s="5" t="s">
        <v>1959</v>
      </c>
      <c r="G701" s="19" t="b">
        <f t="shared" si="10"/>
        <v>0</v>
      </c>
      <c r="H701" s="19" t="b">
        <f>AND(J701&lt;&gt;"", T701&gt;75)</f>
        <v>1</v>
      </c>
      <c r="I701" s="6">
        <v>336050</v>
      </c>
      <c r="J701" s="11" t="s">
        <v>1960</v>
      </c>
      <c r="K701" s="6" t="s">
        <v>281</v>
      </c>
      <c r="L701" s="13">
        <v>781002175001</v>
      </c>
      <c r="M701" s="6">
        <v>31161528</v>
      </c>
      <c r="N701" s="6" t="s">
        <v>1959</v>
      </c>
      <c r="O701" s="6">
        <v>258077</v>
      </c>
      <c r="P701" s="6" t="s">
        <v>1961</v>
      </c>
      <c r="Q701" s="6" t="s">
        <v>281</v>
      </c>
      <c r="S701" s="8">
        <v>0.98412789002268997</v>
      </c>
      <c r="T701" s="7">
        <v>100</v>
      </c>
      <c r="U701" s="7">
        <v>100</v>
      </c>
      <c r="V701" s="7">
        <v>100</v>
      </c>
    </row>
    <row r="702" spans="1:22" x14ac:dyDescent="0.3">
      <c r="A702" s="5">
        <v>897751</v>
      </c>
      <c r="B702" s="5" t="s">
        <v>1090</v>
      </c>
      <c r="C702" s="5" t="s">
        <v>36</v>
      </c>
      <c r="D702" s="5" t="s">
        <v>1091</v>
      </c>
      <c r="G702" s="19" t="b">
        <f t="shared" si="10"/>
        <v>1</v>
      </c>
      <c r="H702" s="19" t="b">
        <f>AND(J702&lt;&gt;"", T702&gt;75)</f>
        <v>0</v>
      </c>
      <c r="J702" s="6"/>
      <c r="Q702" s="6" t="s">
        <v>39</v>
      </c>
      <c r="R702" s="6" t="s">
        <v>36</v>
      </c>
      <c r="U702" s="7">
        <v>60</v>
      </c>
    </row>
    <row r="703" spans="1:22" x14ac:dyDescent="0.3">
      <c r="A703" s="5">
        <v>897752</v>
      </c>
      <c r="B703" s="5" t="s">
        <v>1962</v>
      </c>
      <c r="C703" s="5" t="s">
        <v>1065</v>
      </c>
      <c r="D703" s="5">
        <v>201</v>
      </c>
      <c r="E703" s="5" t="s">
        <v>1963</v>
      </c>
      <c r="G703" s="19" t="b">
        <f t="shared" si="10"/>
        <v>1</v>
      </c>
      <c r="H703" s="19" t="b">
        <f>AND(J703&lt;&gt;"", T703&gt;75)</f>
        <v>0</v>
      </c>
      <c r="J703" s="6"/>
      <c r="Q703" s="6" t="s">
        <v>39</v>
      </c>
      <c r="R703" s="6" t="s">
        <v>36</v>
      </c>
      <c r="U703" s="7">
        <v>60</v>
      </c>
    </row>
    <row r="704" spans="1:22" x14ac:dyDescent="0.3">
      <c r="A704" s="5">
        <v>897753</v>
      </c>
      <c r="B704" s="5" t="s">
        <v>1964</v>
      </c>
      <c r="C704" s="5" t="s">
        <v>1965</v>
      </c>
      <c r="D704" s="5" t="s">
        <v>1966</v>
      </c>
      <c r="G704" s="19" t="b">
        <f t="shared" si="10"/>
        <v>0</v>
      </c>
      <c r="H704" s="19" t="b">
        <f>AND(J704&lt;&gt;"", T704&gt;75)</f>
        <v>0</v>
      </c>
      <c r="J704" s="6"/>
    </row>
    <row r="705" spans="1:22" x14ac:dyDescent="0.3">
      <c r="A705" s="5">
        <v>897755</v>
      </c>
      <c r="B705" s="5" t="s">
        <v>1090</v>
      </c>
      <c r="C705" s="5" t="s">
        <v>36</v>
      </c>
      <c r="D705" s="5" t="s">
        <v>1091</v>
      </c>
      <c r="G705" s="19" t="b">
        <f t="shared" si="10"/>
        <v>1</v>
      </c>
      <c r="H705" s="19" t="b">
        <f>AND(J705&lt;&gt;"", T705&gt;75)</f>
        <v>0</v>
      </c>
      <c r="J705" s="6"/>
      <c r="Q705" s="6" t="s">
        <v>39</v>
      </c>
      <c r="R705" s="6" t="s">
        <v>36</v>
      </c>
      <c r="U705" s="7">
        <v>60</v>
      </c>
    </row>
    <row r="706" spans="1:22" x14ac:dyDescent="0.3">
      <c r="A706" s="5">
        <v>897756</v>
      </c>
      <c r="B706" s="5" t="s">
        <v>1907</v>
      </c>
      <c r="C706" s="5" t="s">
        <v>1557</v>
      </c>
      <c r="D706" s="5" t="s">
        <v>1908</v>
      </c>
      <c r="E706" s="5" t="s">
        <v>1909</v>
      </c>
      <c r="G706" s="19" t="b">
        <f t="shared" si="10"/>
        <v>1</v>
      </c>
      <c r="H706" s="19" t="b">
        <f>AND(J706&lt;&gt;"", T706&gt;75)</f>
        <v>0</v>
      </c>
      <c r="J706" s="6"/>
      <c r="Q706" s="6" t="s">
        <v>1910</v>
      </c>
      <c r="R706" s="6" t="s">
        <v>1911</v>
      </c>
      <c r="U706" s="7">
        <v>50</v>
      </c>
    </row>
    <row r="707" spans="1:22" hidden="1" x14ac:dyDescent="0.3">
      <c r="A707" s="5">
        <v>897757</v>
      </c>
      <c r="B707" s="5" t="s">
        <v>1795</v>
      </c>
      <c r="C707" s="5" t="s">
        <v>1189</v>
      </c>
      <c r="D707" s="5" t="s">
        <v>1796</v>
      </c>
      <c r="E707" s="5" t="s">
        <v>1797</v>
      </c>
      <c r="G707" s="19" t="b">
        <f t="shared" ref="G707:G770" si="11">(R707&lt;&gt;"")</f>
        <v>1</v>
      </c>
      <c r="H707" s="19" t="b">
        <f>AND(J707&lt;&gt;"", T707&gt;75)</f>
        <v>1</v>
      </c>
      <c r="I707" s="6">
        <v>337411</v>
      </c>
      <c r="J707" s="11" t="s">
        <v>1796</v>
      </c>
      <c r="K707" s="6" t="s">
        <v>376</v>
      </c>
      <c r="L707" s="13">
        <v>781810370155</v>
      </c>
      <c r="M707" s="6">
        <v>39121432</v>
      </c>
      <c r="N707" s="6" t="s">
        <v>1797</v>
      </c>
      <c r="O707" s="6">
        <v>254683</v>
      </c>
      <c r="P707" s="6" t="s">
        <v>1795</v>
      </c>
      <c r="Q707" s="6" t="s">
        <v>376</v>
      </c>
      <c r="R707" s="6" t="s">
        <v>1189</v>
      </c>
      <c r="S707" s="7">
        <v>0.99999918027038004</v>
      </c>
      <c r="T707" s="7">
        <v>100</v>
      </c>
      <c r="U707" s="7">
        <v>100</v>
      </c>
      <c r="V707" s="7">
        <v>100</v>
      </c>
    </row>
    <row r="708" spans="1:22" hidden="1" x14ac:dyDescent="0.3">
      <c r="A708" s="5">
        <v>897758</v>
      </c>
      <c r="B708" s="5" t="s">
        <v>1795</v>
      </c>
      <c r="C708" s="5" t="s">
        <v>1189</v>
      </c>
      <c r="D708" s="5" t="s">
        <v>1796</v>
      </c>
      <c r="E708" s="5" t="s">
        <v>1797</v>
      </c>
      <c r="G708" s="19" t="b">
        <f t="shared" si="11"/>
        <v>1</v>
      </c>
      <c r="H708" s="19" t="b">
        <f>AND(J708&lt;&gt;"", T708&gt;75)</f>
        <v>1</v>
      </c>
      <c r="I708" s="6">
        <v>337411</v>
      </c>
      <c r="J708" s="11" t="s">
        <v>1796</v>
      </c>
      <c r="K708" s="6" t="s">
        <v>376</v>
      </c>
      <c r="L708" s="13">
        <v>781810370155</v>
      </c>
      <c r="M708" s="6">
        <v>39121432</v>
      </c>
      <c r="N708" s="6" t="s">
        <v>1797</v>
      </c>
      <c r="O708" s="6">
        <v>254683</v>
      </c>
      <c r="P708" s="6" t="s">
        <v>1795</v>
      </c>
      <c r="Q708" s="6" t="s">
        <v>376</v>
      </c>
      <c r="R708" s="6" t="s">
        <v>1189</v>
      </c>
      <c r="S708" s="7">
        <v>0.99999918027038004</v>
      </c>
      <c r="T708" s="7">
        <v>100</v>
      </c>
      <c r="U708" s="7">
        <v>100</v>
      </c>
      <c r="V708" s="7">
        <v>100</v>
      </c>
    </row>
    <row r="709" spans="1:22" hidden="1" x14ac:dyDescent="0.3">
      <c r="A709" s="5">
        <v>897759</v>
      </c>
      <c r="B709" s="5" t="s">
        <v>1967</v>
      </c>
      <c r="C709" s="5" t="s">
        <v>1080</v>
      </c>
      <c r="D709" s="5" t="s">
        <v>1968</v>
      </c>
      <c r="E709" s="5" t="s">
        <v>1969</v>
      </c>
      <c r="G709" s="19" t="b">
        <f t="shared" si="11"/>
        <v>0</v>
      </c>
      <c r="H709" s="19" t="b">
        <f>AND(J709&lt;&gt;"", T709&gt;75)</f>
        <v>0</v>
      </c>
      <c r="I709" s="6">
        <v>335834</v>
      </c>
      <c r="J709" s="6" t="s">
        <v>1968</v>
      </c>
      <c r="K709" s="6" t="s">
        <v>379</v>
      </c>
      <c r="L709" s="14" t="s">
        <v>1970</v>
      </c>
      <c r="M709" s="6">
        <v>39131700</v>
      </c>
      <c r="N709" s="6" t="s">
        <v>1969</v>
      </c>
      <c r="O709" s="6">
        <v>252654</v>
      </c>
      <c r="P709" s="6" t="s">
        <v>1971</v>
      </c>
      <c r="Q709" s="6" t="s">
        <v>379</v>
      </c>
      <c r="S709" s="8">
        <v>0.96365430775341099</v>
      </c>
      <c r="T709" s="8">
        <v>22.009460829053801</v>
      </c>
      <c r="U709" s="8">
        <v>19.449638829930301</v>
      </c>
      <c r="V709" s="7">
        <v>33.748661638335001</v>
      </c>
    </row>
    <row r="710" spans="1:22" hidden="1" x14ac:dyDescent="0.3">
      <c r="A710" s="5">
        <v>897760</v>
      </c>
      <c r="B710" s="5" t="s">
        <v>1972</v>
      </c>
      <c r="C710" s="5" t="s">
        <v>1065</v>
      </c>
      <c r="D710" s="5" t="s">
        <v>1441</v>
      </c>
      <c r="E710" s="5" t="s">
        <v>1442</v>
      </c>
      <c r="G710" s="19" t="b">
        <f t="shared" si="11"/>
        <v>0</v>
      </c>
      <c r="H710" s="19" t="b">
        <f>AND(J710&lt;&gt;"", T710&gt;75)</f>
        <v>1</v>
      </c>
      <c r="I710" s="6">
        <v>337892</v>
      </c>
      <c r="J710" s="11" t="s">
        <v>1441</v>
      </c>
      <c r="K710" s="6" t="s">
        <v>308</v>
      </c>
      <c r="L710" s="13">
        <v>786189105001</v>
      </c>
      <c r="M710" s="6">
        <v>39121321</v>
      </c>
      <c r="N710" s="6" t="s">
        <v>1442</v>
      </c>
      <c r="O710" s="6">
        <v>256456</v>
      </c>
      <c r="P710" s="6" t="s">
        <v>1973</v>
      </c>
      <c r="Q710" s="6" t="s">
        <v>308</v>
      </c>
      <c r="S710" s="7">
        <v>0.96311931716056798</v>
      </c>
      <c r="T710" s="7">
        <v>85.655965858028395</v>
      </c>
      <c r="U710" s="7">
        <v>89.655965858028395</v>
      </c>
      <c r="V710" s="7">
        <v>100</v>
      </c>
    </row>
    <row r="711" spans="1:22" hidden="1" x14ac:dyDescent="0.3">
      <c r="A711" s="5">
        <v>897761</v>
      </c>
      <c r="B711" s="5" t="s">
        <v>1974</v>
      </c>
      <c r="C711" s="5" t="s">
        <v>1045</v>
      </c>
      <c r="D711" s="5" t="s">
        <v>1975</v>
      </c>
      <c r="E711" s="5" t="s">
        <v>1976</v>
      </c>
      <c r="G711" s="19" t="b">
        <f t="shared" si="11"/>
        <v>0</v>
      </c>
      <c r="H711" s="19" t="b">
        <f>AND(J711&lt;&gt;"", T711&gt;75)</f>
        <v>1</v>
      </c>
      <c r="I711" s="6">
        <v>339116</v>
      </c>
      <c r="J711" s="11" t="s">
        <v>1975</v>
      </c>
      <c r="K711" s="6" t="s">
        <v>303</v>
      </c>
      <c r="L711" s="13">
        <v>783510522001</v>
      </c>
      <c r="M711" s="6">
        <v>39131710</v>
      </c>
      <c r="N711" s="6" t="s">
        <v>1976</v>
      </c>
      <c r="O711" s="6">
        <v>259623</v>
      </c>
      <c r="P711" s="6" t="s">
        <v>1974</v>
      </c>
      <c r="Q711" s="6" t="s">
        <v>303</v>
      </c>
      <c r="S711" s="8">
        <v>0.99999279451179801</v>
      </c>
      <c r="T711" s="8">
        <v>92.499639725589901</v>
      </c>
      <c r="U711" s="8">
        <v>94.499639725589901</v>
      </c>
      <c r="V711" s="7">
        <v>100</v>
      </c>
    </row>
    <row r="712" spans="1:22" hidden="1" x14ac:dyDescent="0.3">
      <c r="A712" s="5">
        <v>897762</v>
      </c>
      <c r="B712" s="5" t="s">
        <v>1977</v>
      </c>
      <c r="C712" s="5" t="s">
        <v>1045</v>
      </c>
      <c r="D712" s="5" t="s">
        <v>1978</v>
      </c>
      <c r="E712" s="5" t="s">
        <v>1979</v>
      </c>
      <c r="G712" s="19" t="b">
        <f t="shared" si="11"/>
        <v>0</v>
      </c>
      <c r="H712" s="19" t="b">
        <f>AND(J712&lt;&gt;"", T712&gt;75)</f>
        <v>1</v>
      </c>
      <c r="I712" s="6">
        <v>339117</v>
      </c>
      <c r="J712" s="11" t="s">
        <v>1978</v>
      </c>
      <c r="K712" s="6" t="s">
        <v>303</v>
      </c>
      <c r="L712" s="13">
        <v>783510522704</v>
      </c>
      <c r="M712" s="6">
        <v>39131711</v>
      </c>
      <c r="N712" s="6" t="s">
        <v>1979</v>
      </c>
      <c r="O712" s="6">
        <v>259624</v>
      </c>
      <c r="P712" s="6" t="s">
        <v>1980</v>
      </c>
      <c r="Q712" s="6" t="s">
        <v>303</v>
      </c>
      <c r="S712" s="7">
        <v>0.984640314433324</v>
      </c>
      <c r="T712" s="7">
        <v>96.732015721666201</v>
      </c>
      <c r="U712" s="7">
        <v>96.732015721666201</v>
      </c>
      <c r="V712" s="7">
        <v>100</v>
      </c>
    </row>
    <row r="713" spans="1:22" x14ac:dyDescent="0.3">
      <c r="A713" s="5">
        <v>897763</v>
      </c>
      <c r="B713" s="5" t="s">
        <v>1981</v>
      </c>
      <c r="C713" s="5" t="s">
        <v>36</v>
      </c>
      <c r="D713" s="5" t="s">
        <v>1982</v>
      </c>
      <c r="G713" s="19" t="b">
        <f t="shared" si="11"/>
        <v>1</v>
      </c>
      <c r="H713" s="19" t="b">
        <f>AND(J713&lt;&gt;"", T713&gt;75)</f>
        <v>0</v>
      </c>
      <c r="J713" s="6"/>
      <c r="Q713" s="6" t="s">
        <v>39</v>
      </c>
      <c r="R713" s="6" t="s">
        <v>36</v>
      </c>
      <c r="U713" s="7">
        <v>60</v>
      </c>
    </row>
    <row r="714" spans="1:22" hidden="1" x14ac:dyDescent="0.3">
      <c r="A714" s="5">
        <v>897764</v>
      </c>
      <c r="B714" s="5" t="s">
        <v>1983</v>
      </c>
      <c r="C714" s="5" t="s">
        <v>1045</v>
      </c>
      <c r="D714" s="5" t="s">
        <v>1984</v>
      </c>
      <c r="E714" s="5" t="s">
        <v>1985</v>
      </c>
      <c r="G714" s="19" t="b">
        <f t="shared" si="11"/>
        <v>0</v>
      </c>
      <c r="H714" s="19" t="b">
        <f>AND(J714&lt;&gt;"", T714&gt;75)</f>
        <v>1</v>
      </c>
      <c r="I714" s="6">
        <v>104596</v>
      </c>
      <c r="J714" s="11" t="s">
        <v>1984</v>
      </c>
      <c r="K714" s="6" t="s">
        <v>303</v>
      </c>
      <c r="L714" s="13">
        <v>783510433604</v>
      </c>
      <c r="M714" s="6">
        <v>39121303</v>
      </c>
      <c r="O714" s="6">
        <v>42208</v>
      </c>
      <c r="P714" s="6" t="s">
        <v>1986</v>
      </c>
      <c r="Q714" s="6" t="s">
        <v>303</v>
      </c>
      <c r="S714" s="7">
        <v>0.88649613319891896</v>
      </c>
      <c r="T714" s="7">
        <v>100</v>
      </c>
      <c r="U714" s="7">
        <v>100</v>
      </c>
      <c r="V714" s="7">
        <v>100</v>
      </c>
    </row>
    <row r="715" spans="1:22" hidden="1" x14ac:dyDescent="0.3">
      <c r="A715" s="5">
        <v>897765</v>
      </c>
      <c r="B715" s="5" t="s">
        <v>1257</v>
      </c>
      <c r="C715" s="5" t="s">
        <v>1045</v>
      </c>
      <c r="D715" s="5" t="s">
        <v>1258</v>
      </c>
      <c r="E715" s="5" t="s">
        <v>1259</v>
      </c>
      <c r="G715" s="19" t="b">
        <f t="shared" si="11"/>
        <v>0</v>
      </c>
      <c r="H715" s="19" t="b">
        <f>AND(J715&lt;&gt;"", T715&gt;75)</f>
        <v>1</v>
      </c>
      <c r="I715" s="6">
        <v>337095</v>
      </c>
      <c r="J715" s="11" t="s">
        <v>1258</v>
      </c>
      <c r="K715" s="6" t="s">
        <v>303</v>
      </c>
      <c r="L715" s="13">
        <v>783510433307</v>
      </c>
      <c r="M715" s="6">
        <v>39121303</v>
      </c>
      <c r="N715" s="6" t="s">
        <v>1259</v>
      </c>
      <c r="O715" s="6">
        <v>259552</v>
      </c>
      <c r="P715" s="6" t="s">
        <v>1260</v>
      </c>
      <c r="Q715" s="6" t="s">
        <v>303</v>
      </c>
      <c r="S715" s="8">
        <v>0.98630926157158605</v>
      </c>
      <c r="T715" s="7">
        <v>100</v>
      </c>
      <c r="U715" s="7">
        <v>100</v>
      </c>
      <c r="V715" s="7">
        <v>100</v>
      </c>
    </row>
    <row r="716" spans="1:22" hidden="1" x14ac:dyDescent="0.3">
      <c r="A716" s="5">
        <v>897766</v>
      </c>
      <c r="B716" s="5" t="s">
        <v>1987</v>
      </c>
      <c r="C716" s="5" t="s">
        <v>1080</v>
      </c>
      <c r="D716" s="5" t="s">
        <v>1988</v>
      </c>
      <c r="E716" s="5" t="s">
        <v>1989</v>
      </c>
      <c r="G716" s="19" t="b">
        <f t="shared" si="11"/>
        <v>0</v>
      </c>
      <c r="H716" s="19" t="b">
        <f>AND(J716&lt;&gt;"", T716&gt;75)</f>
        <v>1</v>
      </c>
      <c r="I716" s="6">
        <v>336616</v>
      </c>
      <c r="J716" s="11" t="s">
        <v>1988</v>
      </c>
      <c r="K716" s="6" t="s">
        <v>379</v>
      </c>
      <c r="L716" s="14" t="s">
        <v>1990</v>
      </c>
      <c r="M716" s="6">
        <v>39131700</v>
      </c>
      <c r="N716" s="6" t="s">
        <v>1989</v>
      </c>
      <c r="O716" s="6">
        <v>252630</v>
      </c>
      <c r="P716" s="6" t="s">
        <v>1991</v>
      </c>
      <c r="Q716" s="6" t="s">
        <v>379</v>
      </c>
      <c r="S716" s="8">
        <v>0.93100263220038504</v>
      </c>
      <c r="T716" s="8">
        <v>94.050131610019207</v>
      </c>
      <c r="U716" s="8">
        <v>94.050131610019207</v>
      </c>
      <c r="V716" s="7">
        <v>100</v>
      </c>
    </row>
    <row r="717" spans="1:22" x14ac:dyDescent="0.3">
      <c r="A717" s="5">
        <v>897767</v>
      </c>
      <c r="B717" s="5" t="s">
        <v>1243</v>
      </c>
      <c r="C717" s="5" t="s">
        <v>36</v>
      </c>
      <c r="D717" s="5" t="s">
        <v>1244</v>
      </c>
      <c r="E717" s="5" t="s">
        <v>50</v>
      </c>
      <c r="G717" s="19" t="b">
        <f t="shared" si="11"/>
        <v>1</v>
      </c>
      <c r="H717" s="19" t="b">
        <f>AND(J717&lt;&gt;"", T717&gt;75)</f>
        <v>0</v>
      </c>
      <c r="J717" s="6"/>
      <c r="Q717" s="6" t="s">
        <v>39</v>
      </c>
      <c r="R717" s="6" t="s">
        <v>36</v>
      </c>
      <c r="U717" s="7">
        <v>60</v>
      </c>
    </row>
    <row r="718" spans="1:22" x14ac:dyDescent="0.3">
      <c r="A718" s="5">
        <v>897768</v>
      </c>
      <c r="B718" s="5" t="s">
        <v>1992</v>
      </c>
      <c r="C718" s="5" t="s">
        <v>36</v>
      </c>
      <c r="D718" s="5" t="s">
        <v>1993</v>
      </c>
      <c r="G718" s="19" t="b">
        <f t="shared" si="11"/>
        <v>1</v>
      </c>
      <c r="H718" s="19" t="b">
        <f>AND(J718&lt;&gt;"", T718&gt;75)</f>
        <v>0</v>
      </c>
      <c r="J718" s="6"/>
      <c r="Q718" s="6" t="s">
        <v>39</v>
      </c>
      <c r="R718" s="6" t="s">
        <v>36</v>
      </c>
      <c r="U718" s="7">
        <v>60</v>
      </c>
    </row>
    <row r="719" spans="1:22" hidden="1" x14ac:dyDescent="0.3">
      <c r="A719" s="5">
        <v>897769</v>
      </c>
      <c r="B719" s="5" t="s">
        <v>1994</v>
      </c>
      <c r="C719" s="5" t="s">
        <v>1017</v>
      </c>
      <c r="D719" s="5" t="s">
        <v>1995</v>
      </c>
      <c r="E719" s="5" t="s">
        <v>1996</v>
      </c>
      <c r="G719" s="19" t="b">
        <f t="shared" si="11"/>
        <v>0</v>
      </c>
      <c r="H719" s="19" t="b">
        <f>AND(J719&lt;&gt;"", T719&gt;75)</f>
        <v>1</v>
      </c>
      <c r="I719" s="6">
        <v>337198</v>
      </c>
      <c r="J719" s="11" t="s">
        <v>1995</v>
      </c>
      <c r="K719" s="6" t="s">
        <v>112</v>
      </c>
      <c r="L719" s="13">
        <v>781011608439</v>
      </c>
      <c r="M719" s="6">
        <v>31162906</v>
      </c>
      <c r="N719" s="6" t="s">
        <v>1996</v>
      </c>
      <c r="O719" s="6">
        <v>253190</v>
      </c>
      <c r="P719" s="6" t="s">
        <v>1997</v>
      </c>
      <c r="Q719" s="6" t="s">
        <v>42</v>
      </c>
      <c r="S719" s="8">
        <v>0.84095478365672405</v>
      </c>
      <c r="T719" s="8">
        <v>79.547739182836196</v>
      </c>
      <c r="U719" s="8">
        <v>49.547739182836203</v>
      </c>
      <c r="V719" s="8">
        <v>83.190956731344897</v>
      </c>
    </row>
    <row r="720" spans="1:22" x14ac:dyDescent="0.3">
      <c r="A720" s="5">
        <v>897770</v>
      </c>
      <c r="B720" s="5" t="s">
        <v>1998</v>
      </c>
      <c r="C720" s="5" t="s">
        <v>1065</v>
      </c>
      <c r="D720" s="5">
        <v>453</v>
      </c>
      <c r="E720" s="5" t="s">
        <v>1999</v>
      </c>
      <c r="G720" s="19" t="b">
        <f t="shared" si="11"/>
        <v>1</v>
      </c>
      <c r="H720" s="19" t="b">
        <f>AND(J720&lt;&gt;"", T720&gt;75)</f>
        <v>0</v>
      </c>
      <c r="J720" s="6"/>
      <c r="Q720" s="6" t="s">
        <v>39</v>
      </c>
      <c r="R720" s="6" t="s">
        <v>36</v>
      </c>
      <c r="U720" s="7">
        <v>60</v>
      </c>
    </row>
    <row r="721" spans="1:22" x14ac:dyDescent="0.3">
      <c r="A721" s="5">
        <v>897771</v>
      </c>
      <c r="B721" s="5" t="s">
        <v>2000</v>
      </c>
      <c r="C721" s="5" t="s">
        <v>1065</v>
      </c>
      <c r="D721" s="5">
        <v>934</v>
      </c>
      <c r="E721" s="5" t="s">
        <v>2001</v>
      </c>
      <c r="G721" s="19" t="b">
        <f t="shared" si="11"/>
        <v>0</v>
      </c>
      <c r="H721" s="19" t="b">
        <f>AND(J721&lt;&gt;"", T721&gt;75)</f>
        <v>0</v>
      </c>
      <c r="J721" s="6"/>
    </row>
    <row r="722" spans="1:22" x14ac:dyDescent="0.3">
      <c r="A722" s="5">
        <v>897772</v>
      </c>
      <c r="B722" s="5" t="s">
        <v>2002</v>
      </c>
      <c r="C722" s="5" t="s">
        <v>1065</v>
      </c>
      <c r="D722" s="5">
        <v>463</v>
      </c>
      <c r="E722" s="5" t="s">
        <v>2003</v>
      </c>
      <c r="G722" s="19" t="b">
        <f t="shared" si="11"/>
        <v>1</v>
      </c>
      <c r="H722" s="19" t="b">
        <f>AND(J722&lt;&gt;"", T722&gt;75)</f>
        <v>0</v>
      </c>
      <c r="J722" s="6"/>
      <c r="Q722" s="6" t="s">
        <v>39</v>
      </c>
      <c r="R722" s="6" t="s">
        <v>36</v>
      </c>
      <c r="U722" s="7">
        <v>60</v>
      </c>
    </row>
    <row r="723" spans="1:22" x14ac:dyDescent="0.3">
      <c r="A723" s="5">
        <v>897773</v>
      </c>
      <c r="B723" s="5" t="s">
        <v>2004</v>
      </c>
      <c r="C723" s="5" t="s">
        <v>1065</v>
      </c>
      <c r="D723" s="5">
        <v>203</v>
      </c>
      <c r="E723" s="5" t="s">
        <v>2005</v>
      </c>
      <c r="G723" s="19" t="b">
        <f t="shared" si="11"/>
        <v>1</v>
      </c>
      <c r="H723" s="19" t="b">
        <f>AND(J723&lt;&gt;"", T723&gt;75)</f>
        <v>0</v>
      </c>
      <c r="J723" s="6"/>
      <c r="Q723" s="6" t="s">
        <v>39</v>
      </c>
      <c r="R723" s="6" t="s">
        <v>36</v>
      </c>
      <c r="U723" s="7">
        <v>60</v>
      </c>
    </row>
    <row r="724" spans="1:22" hidden="1" x14ac:dyDescent="0.3">
      <c r="A724" s="5">
        <v>897774</v>
      </c>
      <c r="B724" s="5" t="s">
        <v>2006</v>
      </c>
      <c r="C724" s="5" t="s">
        <v>1067</v>
      </c>
      <c r="D724" s="5" t="s">
        <v>2007</v>
      </c>
      <c r="E724" s="5" t="s">
        <v>2008</v>
      </c>
      <c r="G724" s="19" t="b">
        <f t="shared" si="11"/>
        <v>0</v>
      </c>
      <c r="H724" s="19" t="b">
        <f>AND(J724&lt;&gt;"", T724&gt;75)</f>
        <v>1</v>
      </c>
      <c r="I724" s="6">
        <v>338545</v>
      </c>
      <c r="J724" s="11" t="s">
        <v>2009</v>
      </c>
      <c r="K724" s="6" t="s">
        <v>281</v>
      </c>
      <c r="L724" s="13">
        <v>781002175056</v>
      </c>
      <c r="M724" s="6">
        <v>31161528</v>
      </c>
      <c r="N724" s="6" t="s">
        <v>2008</v>
      </c>
      <c r="O724" s="6">
        <v>258078</v>
      </c>
      <c r="P724" s="6" t="s">
        <v>2010</v>
      </c>
      <c r="Q724" s="6" t="s">
        <v>281</v>
      </c>
      <c r="S724" s="8">
        <v>0.98575728595282397</v>
      </c>
      <c r="T724" s="7">
        <v>100</v>
      </c>
      <c r="U724" s="7">
        <v>100</v>
      </c>
      <c r="V724" s="7">
        <v>100</v>
      </c>
    </row>
    <row r="725" spans="1:22" x14ac:dyDescent="0.3">
      <c r="A725" s="5">
        <v>897775</v>
      </c>
      <c r="B725" s="5" t="s">
        <v>1941</v>
      </c>
      <c r="C725" s="5" t="s">
        <v>1065</v>
      </c>
      <c r="D725" s="5">
        <v>461</v>
      </c>
      <c r="E725" s="5" t="s">
        <v>1942</v>
      </c>
      <c r="G725" s="19" t="b">
        <f t="shared" si="11"/>
        <v>1</v>
      </c>
      <c r="H725" s="19" t="b">
        <f>AND(J725&lt;&gt;"", T725&gt;75)</f>
        <v>0</v>
      </c>
      <c r="J725" s="6"/>
      <c r="Q725" s="6" t="s">
        <v>39</v>
      </c>
      <c r="R725" s="6" t="s">
        <v>36</v>
      </c>
      <c r="U725" s="7">
        <v>60</v>
      </c>
    </row>
    <row r="726" spans="1:22" x14ac:dyDescent="0.3">
      <c r="A726" s="5">
        <v>897776</v>
      </c>
      <c r="B726" s="5" t="s">
        <v>2011</v>
      </c>
      <c r="C726" s="5" t="s">
        <v>1130</v>
      </c>
      <c r="D726" s="5" t="s">
        <v>2012</v>
      </c>
      <c r="E726" s="5" t="s">
        <v>2013</v>
      </c>
      <c r="G726" s="19" t="b">
        <f t="shared" si="11"/>
        <v>0</v>
      </c>
      <c r="H726" s="19" t="b">
        <f>AND(J726&lt;&gt;"", T726&gt;75)</f>
        <v>0</v>
      </c>
      <c r="J726" s="6"/>
    </row>
    <row r="727" spans="1:22" x14ac:dyDescent="0.3">
      <c r="A727" s="5">
        <v>897777</v>
      </c>
      <c r="B727" s="5" t="s">
        <v>1064</v>
      </c>
      <c r="C727" s="5" t="s">
        <v>1065</v>
      </c>
      <c r="D727" s="5">
        <v>451</v>
      </c>
      <c r="E727" s="5" t="s">
        <v>268</v>
      </c>
      <c r="G727" s="19" t="b">
        <f t="shared" si="11"/>
        <v>1</v>
      </c>
      <c r="H727" s="19" t="b">
        <f>AND(J727&lt;&gt;"", T727&gt;75)</f>
        <v>0</v>
      </c>
      <c r="J727" s="6"/>
      <c r="Q727" s="6" t="s">
        <v>39</v>
      </c>
      <c r="R727" s="6" t="s">
        <v>36</v>
      </c>
      <c r="U727" s="7">
        <v>60</v>
      </c>
    </row>
    <row r="728" spans="1:22" x14ac:dyDescent="0.3">
      <c r="A728" s="5">
        <v>897778</v>
      </c>
      <c r="B728" s="5" t="s">
        <v>2014</v>
      </c>
      <c r="C728" s="5" t="s">
        <v>1130</v>
      </c>
      <c r="E728" s="5" t="s">
        <v>2015</v>
      </c>
      <c r="G728" s="19" t="b">
        <f t="shared" si="11"/>
        <v>0</v>
      </c>
      <c r="H728" s="19" t="b">
        <f>AND(J728&lt;&gt;"", T728&gt;75)</f>
        <v>0</v>
      </c>
      <c r="J728" s="6"/>
    </row>
    <row r="729" spans="1:22" x14ac:dyDescent="0.3">
      <c r="A729" s="5">
        <v>897779</v>
      </c>
      <c r="B729" s="5" t="s">
        <v>1180</v>
      </c>
      <c r="C729" s="5" t="s">
        <v>1080</v>
      </c>
      <c r="D729" s="5" t="s">
        <v>1181</v>
      </c>
      <c r="E729" s="5" t="s">
        <v>1182</v>
      </c>
      <c r="G729" s="19" t="b">
        <f t="shared" si="11"/>
        <v>0</v>
      </c>
      <c r="H729" s="19" t="b">
        <f>AND(J729&lt;&gt;"", T729&gt;75)</f>
        <v>0</v>
      </c>
      <c r="J729" s="6"/>
    </row>
    <row r="730" spans="1:22" x14ac:dyDescent="0.3">
      <c r="A730" s="5">
        <v>897780</v>
      </c>
      <c r="B730" s="5" t="s">
        <v>2016</v>
      </c>
      <c r="C730" s="5" t="s">
        <v>1130</v>
      </c>
      <c r="D730" s="5">
        <v>3211</v>
      </c>
      <c r="E730" s="5" t="s">
        <v>2017</v>
      </c>
      <c r="G730" s="19" t="b">
        <f t="shared" si="11"/>
        <v>0</v>
      </c>
      <c r="H730" s="19" t="b">
        <f>AND(J730&lt;&gt;"", T730&gt;75)</f>
        <v>0</v>
      </c>
      <c r="J730" s="6"/>
    </row>
    <row r="731" spans="1:22" hidden="1" x14ac:dyDescent="0.3">
      <c r="A731" s="5">
        <v>897781</v>
      </c>
      <c r="B731" s="5" t="s">
        <v>1172</v>
      </c>
      <c r="C731" s="5" t="s">
        <v>1080</v>
      </c>
      <c r="D731" s="5" t="s">
        <v>1173</v>
      </c>
      <c r="E731" s="5" t="s">
        <v>1174</v>
      </c>
      <c r="G731" s="19" t="b">
        <f t="shared" si="11"/>
        <v>0</v>
      </c>
      <c r="H731" s="19" t="b">
        <f>AND(J731&lt;&gt;"", T731&gt;75)</f>
        <v>0</v>
      </c>
      <c r="I731" s="6">
        <v>335828</v>
      </c>
      <c r="J731" s="6" t="s">
        <v>1173</v>
      </c>
      <c r="K731" s="6" t="s">
        <v>379</v>
      </c>
      <c r="L731" s="14" t="s">
        <v>1175</v>
      </c>
      <c r="M731" s="6">
        <v>39131700</v>
      </c>
      <c r="N731" s="6" t="s">
        <v>1174</v>
      </c>
      <c r="O731" s="6">
        <v>252647</v>
      </c>
      <c r="P731" s="6" t="s">
        <v>1176</v>
      </c>
      <c r="Q731" s="6" t="s">
        <v>379</v>
      </c>
      <c r="S731" s="7">
        <v>0.95783554491036704</v>
      </c>
      <c r="T731" s="8">
        <v>18.8064692303189</v>
      </c>
      <c r="U731" s="8">
        <v>17.374743862758798</v>
      </c>
      <c r="V731" s="8">
        <v>31.222035470051999</v>
      </c>
    </row>
    <row r="732" spans="1:22" hidden="1" x14ac:dyDescent="0.3">
      <c r="A732" s="5">
        <v>897782</v>
      </c>
      <c r="B732" s="5" t="s">
        <v>2018</v>
      </c>
      <c r="C732" s="5" t="s">
        <v>1080</v>
      </c>
      <c r="D732" s="5" t="s">
        <v>2019</v>
      </c>
      <c r="E732" s="5" t="s">
        <v>2020</v>
      </c>
      <c r="G732" s="19" t="b">
        <f t="shared" si="11"/>
        <v>0</v>
      </c>
      <c r="H732" s="19" t="b">
        <f>AND(J732&lt;&gt;"", T732&gt;75)</f>
        <v>0</v>
      </c>
      <c r="I732" s="6">
        <v>335835</v>
      </c>
      <c r="J732" s="6" t="s">
        <v>2019</v>
      </c>
      <c r="K732" s="6" t="s">
        <v>379</v>
      </c>
      <c r="L732" s="14" t="s">
        <v>2021</v>
      </c>
      <c r="M732" s="6">
        <v>39131700</v>
      </c>
      <c r="N732" s="6" t="s">
        <v>2020</v>
      </c>
      <c r="O732" s="6">
        <v>252656</v>
      </c>
      <c r="P732" s="6" t="s">
        <v>2022</v>
      </c>
      <c r="Q732" s="6" t="s">
        <v>379</v>
      </c>
      <c r="S732" s="8">
        <v>0.96252462468151101</v>
      </c>
      <c r="T732" s="7">
        <v>21.316026036852101</v>
      </c>
      <c r="U732" s="8">
        <v>18.726747626851601</v>
      </c>
      <c r="V732" s="8">
        <v>30.577083936256301</v>
      </c>
    </row>
    <row r="733" spans="1:22" x14ac:dyDescent="0.3">
      <c r="A733" s="5">
        <v>897783</v>
      </c>
      <c r="B733" s="5" t="s">
        <v>2023</v>
      </c>
      <c r="C733" s="5" t="s">
        <v>1080</v>
      </c>
      <c r="D733" s="5" t="s">
        <v>2024</v>
      </c>
      <c r="E733" s="5" t="s">
        <v>2025</v>
      </c>
      <c r="G733" s="19" t="b">
        <f t="shared" si="11"/>
        <v>0</v>
      </c>
      <c r="H733" s="19" t="b">
        <f>AND(J733&lt;&gt;"", T733&gt;75)</f>
        <v>0</v>
      </c>
      <c r="J733" s="6"/>
    </row>
    <row r="734" spans="1:22" hidden="1" x14ac:dyDescent="0.3">
      <c r="A734" s="5">
        <v>897784</v>
      </c>
      <c r="B734" s="5" t="s">
        <v>2026</v>
      </c>
      <c r="C734" s="5" t="s">
        <v>1065</v>
      </c>
      <c r="D734" s="5" t="s">
        <v>702</v>
      </c>
      <c r="E734" s="5" t="s">
        <v>719</v>
      </c>
      <c r="G734" s="19" t="b">
        <f t="shared" si="11"/>
        <v>0</v>
      </c>
      <c r="H734" s="19" t="b">
        <f>AND(J734&lt;&gt;"", T734&gt;75)</f>
        <v>1</v>
      </c>
      <c r="I734" s="6">
        <v>337871</v>
      </c>
      <c r="J734" s="11" t="s">
        <v>702</v>
      </c>
      <c r="K734" s="6" t="s">
        <v>308</v>
      </c>
      <c r="L734" s="13">
        <v>786189104288</v>
      </c>
      <c r="M734" s="6">
        <v>39121320</v>
      </c>
      <c r="N734" s="6" t="s">
        <v>703</v>
      </c>
      <c r="O734" s="6">
        <v>256430</v>
      </c>
      <c r="P734" s="6" t="s">
        <v>2027</v>
      </c>
      <c r="Q734" s="6" t="s">
        <v>308</v>
      </c>
      <c r="S734" s="8">
        <v>0.91884824889306904</v>
      </c>
      <c r="T734" s="8">
        <v>83.442412444653399</v>
      </c>
      <c r="U734" s="8">
        <v>87.442412444653399</v>
      </c>
      <c r="V734" s="7">
        <v>100</v>
      </c>
    </row>
    <row r="735" spans="1:22" x14ac:dyDescent="0.3">
      <c r="A735" s="5">
        <v>897785</v>
      </c>
      <c r="B735" s="5" t="s">
        <v>1428</v>
      </c>
      <c r="C735" s="5" t="s">
        <v>36</v>
      </c>
      <c r="D735" s="5" t="s">
        <v>1429</v>
      </c>
      <c r="G735" s="19" t="b">
        <f t="shared" si="11"/>
        <v>1</v>
      </c>
      <c r="H735" s="19" t="b">
        <f>AND(J735&lt;&gt;"", T735&gt;75)</f>
        <v>0</v>
      </c>
      <c r="J735" s="6"/>
      <c r="Q735" s="6" t="s">
        <v>39</v>
      </c>
      <c r="R735" s="6" t="s">
        <v>36</v>
      </c>
      <c r="U735" s="7">
        <v>60</v>
      </c>
    </row>
    <row r="736" spans="1:22" hidden="1" x14ac:dyDescent="0.3">
      <c r="A736" s="5">
        <v>897786</v>
      </c>
      <c r="B736" s="5" t="s">
        <v>2028</v>
      </c>
      <c r="C736" s="5" t="s">
        <v>1067</v>
      </c>
      <c r="D736" s="5" t="s">
        <v>2029</v>
      </c>
      <c r="E736" s="5" t="s">
        <v>2030</v>
      </c>
      <c r="G736" s="19" t="b">
        <f t="shared" si="11"/>
        <v>0</v>
      </c>
      <c r="H736" s="19" t="b">
        <f>AND(J736&lt;&gt;"", T736&gt;75)</f>
        <v>1</v>
      </c>
      <c r="I736" s="6">
        <v>338458</v>
      </c>
      <c r="J736" s="11" t="s">
        <v>2029</v>
      </c>
      <c r="K736" s="6" t="s">
        <v>281</v>
      </c>
      <c r="L736" s="13">
        <v>781002161028</v>
      </c>
      <c r="M736" s="6">
        <v>39121613</v>
      </c>
      <c r="N736" s="6" t="s">
        <v>2030</v>
      </c>
      <c r="O736" s="6">
        <v>257971</v>
      </c>
      <c r="P736" s="6" t="s">
        <v>2028</v>
      </c>
      <c r="Q736" s="6" t="s">
        <v>281</v>
      </c>
      <c r="S736" s="8">
        <v>0.99999910159649996</v>
      </c>
      <c r="T736" s="8">
        <v>92.499955079825</v>
      </c>
      <c r="U736" s="8">
        <v>94.499955079825</v>
      </c>
      <c r="V736" s="7">
        <v>100</v>
      </c>
    </row>
    <row r="737" spans="1:22" x14ac:dyDescent="0.3">
      <c r="A737" s="5">
        <v>897787</v>
      </c>
      <c r="B737" s="5" t="s">
        <v>2031</v>
      </c>
      <c r="C737" s="5" t="s">
        <v>1076</v>
      </c>
      <c r="D737" s="5" t="s">
        <v>2032</v>
      </c>
      <c r="E737" s="5" t="s">
        <v>2033</v>
      </c>
      <c r="G737" s="19" t="b">
        <f t="shared" si="11"/>
        <v>0</v>
      </c>
      <c r="H737" s="19" t="b">
        <f>AND(J737&lt;&gt;"", T737&gt;75)</f>
        <v>0</v>
      </c>
      <c r="J737" s="6"/>
    </row>
    <row r="738" spans="1:22" x14ac:dyDescent="0.3">
      <c r="A738" s="5">
        <v>897788</v>
      </c>
      <c r="B738" s="5" t="s">
        <v>2034</v>
      </c>
      <c r="C738" s="5" t="s">
        <v>1065</v>
      </c>
      <c r="D738" s="5">
        <v>413</v>
      </c>
      <c r="E738" s="5" t="s">
        <v>2035</v>
      </c>
      <c r="G738" s="19" t="b">
        <f t="shared" si="11"/>
        <v>0</v>
      </c>
      <c r="H738" s="19" t="b">
        <f>AND(J738&lt;&gt;"", T738&gt;75)</f>
        <v>0</v>
      </c>
      <c r="J738" s="6"/>
    </row>
    <row r="739" spans="1:22" x14ac:dyDescent="0.3">
      <c r="A739" s="5">
        <v>897789</v>
      </c>
      <c r="B739" s="5" t="s">
        <v>2036</v>
      </c>
      <c r="C739" s="5" t="s">
        <v>2037</v>
      </c>
      <c r="D739" s="5" t="s">
        <v>2038</v>
      </c>
      <c r="E739" s="5" t="s">
        <v>2039</v>
      </c>
      <c r="G739" s="19" t="b">
        <f t="shared" si="11"/>
        <v>0</v>
      </c>
      <c r="H739" s="19" t="b">
        <f>AND(J739&lt;&gt;"", T739&gt;75)</f>
        <v>0</v>
      </c>
      <c r="J739" s="6"/>
    </row>
    <row r="740" spans="1:22" x14ac:dyDescent="0.3">
      <c r="A740" s="5">
        <v>897790</v>
      </c>
      <c r="B740" s="5" t="s">
        <v>2040</v>
      </c>
      <c r="C740" s="5" t="s">
        <v>1065</v>
      </c>
      <c r="D740" s="5" t="s">
        <v>2041</v>
      </c>
      <c r="E740" s="5" t="s">
        <v>2042</v>
      </c>
      <c r="G740" s="19" t="b">
        <f t="shared" si="11"/>
        <v>0</v>
      </c>
      <c r="H740" s="19" t="b">
        <f>AND(J740&lt;&gt;"", T740&gt;75)</f>
        <v>0</v>
      </c>
      <c r="J740" s="6"/>
    </row>
    <row r="741" spans="1:22" hidden="1" x14ac:dyDescent="0.3">
      <c r="A741" s="5">
        <v>897791</v>
      </c>
      <c r="B741" s="5" t="s">
        <v>1270</v>
      </c>
      <c r="C741" s="5" t="s">
        <v>1017</v>
      </c>
      <c r="D741" s="5" t="s">
        <v>250</v>
      </c>
      <c r="E741" s="5" t="s">
        <v>89</v>
      </c>
      <c r="G741" s="19" t="b">
        <f t="shared" si="11"/>
        <v>0</v>
      </c>
      <c r="H741" s="19" t="b">
        <f>AND(J741&lt;&gt;"", T741&gt;75)</f>
        <v>1</v>
      </c>
      <c r="I741" s="6">
        <v>335696</v>
      </c>
      <c r="J741" s="11" t="s">
        <v>251</v>
      </c>
      <c r="K741" s="6" t="s">
        <v>112</v>
      </c>
      <c r="L741" s="13">
        <v>781011213305</v>
      </c>
      <c r="M741" s="6">
        <v>30101804</v>
      </c>
      <c r="N741" s="6" t="s">
        <v>89</v>
      </c>
      <c r="O741" s="6">
        <v>253277</v>
      </c>
      <c r="P741" s="6" t="s">
        <v>1019</v>
      </c>
      <c r="Q741" s="6" t="s">
        <v>42</v>
      </c>
      <c r="S741" s="8">
        <v>0.90659398642490596</v>
      </c>
      <c r="T741" s="7">
        <v>100</v>
      </c>
      <c r="U741" s="7">
        <v>100</v>
      </c>
      <c r="V741" s="7">
        <v>100</v>
      </c>
    </row>
    <row r="742" spans="1:22" hidden="1" x14ac:dyDescent="0.3">
      <c r="A742" s="5">
        <v>897792</v>
      </c>
      <c r="B742" s="5" t="s">
        <v>2043</v>
      </c>
      <c r="C742" s="5" t="s">
        <v>1067</v>
      </c>
      <c r="D742" s="5" t="s">
        <v>2044</v>
      </c>
      <c r="E742" s="5" t="s">
        <v>2045</v>
      </c>
      <c r="G742" s="19" t="b">
        <f t="shared" si="11"/>
        <v>0</v>
      </c>
      <c r="H742" s="19" t="b">
        <f>AND(J742&lt;&gt;"", T742&gt;75)</f>
        <v>1</v>
      </c>
      <c r="I742" s="6">
        <v>335718</v>
      </c>
      <c r="J742" s="11" t="s">
        <v>2044</v>
      </c>
      <c r="K742" s="6" t="s">
        <v>281</v>
      </c>
      <c r="L742" s="13">
        <v>781002558002</v>
      </c>
      <c r="M742" s="6">
        <v>31161504</v>
      </c>
      <c r="N742" s="6" t="s">
        <v>2045</v>
      </c>
      <c r="O742" s="6">
        <v>258042</v>
      </c>
      <c r="P742" s="6" t="s">
        <v>2043</v>
      </c>
      <c r="Q742" s="6" t="s">
        <v>281</v>
      </c>
      <c r="S742" s="8">
        <v>0.99999902256986495</v>
      </c>
      <c r="T742" s="8">
        <v>97.499951128493194</v>
      </c>
      <c r="U742" s="8">
        <v>97.499951128493194</v>
      </c>
      <c r="V742" s="7">
        <v>100</v>
      </c>
    </row>
    <row r="743" spans="1:22" x14ac:dyDescent="0.3">
      <c r="A743" s="5">
        <v>897793</v>
      </c>
      <c r="B743" s="5" t="s">
        <v>2046</v>
      </c>
      <c r="C743" s="5" t="s">
        <v>1065</v>
      </c>
      <c r="D743" s="5" t="s">
        <v>2047</v>
      </c>
      <c r="E743" s="5" t="s">
        <v>2048</v>
      </c>
      <c r="G743" s="19" t="b">
        <f t="shared" si="11"/>
        <v>0</v>
      </c>
      <c r="H743" s="19" t="b">
        <f>AND(J743&lt;&gt;"", T743&gt;75)</f>
        <v>0</v>
      </c>
      <c r="J743" s="6"/>
    </row>
    <row r="744" spans="1:22" x14ac:dyDescent="0.3">
      <c r="A744" s="5">
        <v>897794</v>
      </c>
      <c r="B744" s="5" t="s">
        <v>2049</v>
      </c>
      <c r="C744" s="5" t="s">
        <v>1065</v>
      </c>
      <c r="D744" s="5">
        <v>250</v>
      </c>
      <c r="E744" s="5" t="s">
        <v>2050</v>
      </c>
      <c r="G744" s="19" t="b">
        <f t="shared" si="11"/>
        <v>0</v>
      </c>
      <c r="H744" s="19" t="b">
        <f>AND(J744&lt;&gt;"", T744&gt;75)</f>
        <v>0</v>
      </c>
      <c r="J744" s="6"/>
    </row>
    <row r="745" spans="1:22" x14ac:dyDescent="0.3">
      <c r="A745" s="5">
        <v>897795</v>
      </c>
      <c r="B745" s="5" t="s">
        <v>2051</v>
      </c>
      <c r="C745" s="5" t="s">
        <v>1065</v>
      </c>
      <c r="D745" s="5" t="s">
        <v>2052</v>
      </c>
      <c r="G745" s="19" t="b">
        <f t="shared" si="11"/>
        <v>0</v>
      </c>
      <c r="H745" s="19" t="b">
        <f>AND(J745&lt;&gt;"", T745&gt;75)</f>
        <v>0</v>
      </c>
      <c r="J745" s="6"/>
    </row>
    <row r="746" spans="1:22" x14ac:dyDescent="0.3">
      <c r="A746" s="5">
        <v>897796</v>
      </c>
      <c r="B746" s="5" t="s">
        <v>2053</v>
      </c>
      <c r="C746" s="5" t="s">
        <v>1065</v>
      </c>
      <c r="D746" s="5">
        <v>350</v>
      </c>
      <c r="E746" s="5" t="s">
        <v>2054</v>
      </c>
      <c r="G746" s="19" t="b">
        <f t="shared" si="11"/>
        <v>0</v>
      </c>
      <c r="H746" s="19" t="b">
        <f>AND(J746&lt;&gt;"", T746&gt;75)</f>
        <v>0</v>
      </c>
      <c r="J746" s="6"/>
    </row>
    <row r="747" spans="1:22" x14ac:dyDescent="0.3">
      <c r="A747" s="5">
        <v>897797</v>
      </c>
      <c r="B747" s="5" t="s">
        <v>1243</v>
      </c>
      <c r="C747" s="5" t="s">
        <v>36</v>
      </c>
      <c r="D747" s="5" t="s">
        <v>1244</v>
      </c>
      <c r="G747" s="19" t="b">
        <f t="shared" si="11"/>
        <v>1</v>
      </c>
      <c r="H747" s="19" t="b">
        <f>AND(J747&lt;&gt;"", T747&gt;75)</f>
        <v>0</v>
      </c>
      <c r="J747" s="6"/>
      <c r="Q747" s="6" t="s">
        <v>39</v>
      </c>
      <c r="R747" s="6" t="s">
        <v>36</v>
      </c>
      <c r="U747" s="7">
        <v>60</v>
      </c>
    </row>
    <row r="748" spans="1:22" x14ac:dyDescent="0.3">
      <c r="A748" s="5">
        <v>897798</v>
      </c>
      <c r="B748" s="5" t="s">
        <v>1899</v>
      </c>
      <c r="C748" s="5" t="s">
        <v>1065</v>
      </c>
      <c r="D748" s="5">
        <v>462</v>
      </c>
      <c r="E748" s="5" t="s">
        <v>1265</v>
      </c>
      <c r="G748" s="19" t="b">
        <f t="shared" si="11"/>
        <v>1</v>
      </c>
      <c r="H748" s="19" t="b">
        <f>AND(J748&lt;&gt;"", T748&gt;75)</f>
        <v>0</v>
      </c>
      <c r="J748" s="6"/>
      <c r="Q748" s="6" t="s">
        <v>39</v>
      </c>
      <c r="R748" s="6" t="s">
        <v>36</v>
      </c>
      <c r="U748" s="7">
        <v>60</v>
      </c>
    </row>
    <row r="749" spans="1:22" x14ac:dyDescent="0.3">
      <c r="A749" s="5">
        <v>897799</v>
      </c>
      <c r="B749" s="5" t="s">
        <v>2055</v>
      </c>
      <c r="C749" s="5" t="s">
        <v>1065</v>
      </c>
      <c r="D749" s="5">
        <v>202</v>
      </c>
      <c r="E749" s="5" t="s">
        <v>1294</v>
      </c>
      <c r="G749" s="19" t="b">
        <f t="shared" si="11"/>
        <v>1</v>
      </c>
      <c r="H749" s="19" t="b">
        <f>AND(J749&lt;&gt;"", T749&gt;75)</f>
        <v>0</v>
      </c>
      <c r="J749" s="6"/>
      <c r="Q749" s="6" t="s">
        <v>39</v>
      </c>
      <c r="R749" s="6" t="s">
        <v>36</v>
      </c>
      <c r="U749" s="7">
        <v>60</v>
      </c>
    </row>
    <row r="750" spans="1:22" x14ac:dyDescent="0.3">
      <c r="A750" s="5">
        <v>897800</v>
      </c>
      <c r="B750" s="5" t="s">
        <v>2056</v>
      </c>
      <c r="C750" s="5" t="s">
        <v>1065</v>
      </c>
      <c r="D750" s="5">
        <v>932</v>
      </c>
      <c r="E750" s="5" t="s">
        <v>2057</v>
      </c>
      <c r="G750" s="19" t="b">
        <f t="shared" si="11"/>
        <v>0</v>
      </c>
      <c r="H750" s="19" t="b">
        <f>AND(J750&lt;&gt;"", T750&gt;75)</f>
        <v>0</v>
      </c>
      <c r="J750" s="6"/>
    </row>
    <row r="751" spans="1:22" hidden="1" x14ac:dyDescent="0.3">
      <c r="A751" s="5">
        <v>897801</v>
      </c>
      <c r="B751" s="5" t="s">
        <v>2018</v>
      </c>
      <c r="C751" s="5" t="s">
        <v>1080</v>
      </c>
      <c r="D751" s="5" t="s">
        <v>2019</v>
      </c>
      <c r="E751" s="5" t="s">
        <v>2058</v>
      </c>
      <c r="G751" s="19" t="b">
        <f t="shared" si="11"/>
        <v>0</v>
      </c>
      <c r="H751" s="19" t="b">
        <f>AND(J751&lt;&gt;"", T751&gt;75)</f>
        <v>0</v>
      </c>
      <c r="I751" s="6">
        <v>335835</v>
      </c>
      <c r="J751" s="6" t="s">
        <v>2019</v>
      </c>
      <c r="K751" s="6" t="s">
        <v>379</v>
      </c>
      <c r="L751" s="14" t="s">
        <v>2021</v>
      </c>
      <c r="M751" s="6">
        <v>39131700</v>
      </c>
      <c r="N751" s="6" t="s">
        <v>2020</v>
      </c>
      <c r="O751" s="6">
        <v>252656</v>
      </c>
      <c r="P751" s="6" t="s">
        <v>2022</v>
      </c>
      <c r="Q751" s="6" t="s">
        <v>379</v>
      </c>
      <c r="S751" s="8">
        <v>0.96252462468151101</v>
      </c>
      <c r="T751" s="7">
        <v>21.316026036852101</v>
      </c>
      <c r="U751" s="8">
        <v>18.726747626851601</v>
      </c>
      <c r="V751" s="8">
        <v>30.577083936256301</v>
      </c>
    </row>
    <row r="752" spans="1:22" x14ac:dyDescent="0.3">
      <c r="A752" s="5">
        <v>897802</v>
      </c>
      <c r="B752" s="5" t="s">
        <v>1292</v>
      </c>
      <c r="C752" s="5" t="s">
        <v>1017</v>
      </c>
      <c r="D752" s="5" t="s">
        <v>1293</v>
      </c>
      <c r="E752" s="5" t="s">
        <v>2020</v>
      </c>
      <c r="G752" s="19" t="b">
        <f t="shared" si="11"/>
        <v>0</v>
      </c>
      <c r="H752" s="19" t="b">
        <f>AND(J752&lt;&gt;"", T752&gt;75)</f>
        <v>0</v>
      </c>
      <c r="J752" s="6"/>
    </row>
    <row r="753" spans="1:22" x14ac:dyDescent="0.3">
      <c r="A753" s="5">
        <v>897803</v>
      </c>
      <c r="B753" s="5" t="s">
        <v>1905</v>
      </c>
      <c r="C753" s="5" t="s">
        <v>1065</v>
      </c>
      <c r="D753" s="5">
        <v>452</v>
      </c>
      <c r="E753" s="5" t="s">
        <v>1906</v>
      </c>
      <c r="G753" s="19" t="b">
        <f t="shared" si="11"/>
        <v>1</v>
      </c>
      <c r="H753" s="19" t="b">
        <f>AND(J753&lt;&gt;"", T753&gt;75)</f>
        <v>0</v>
      </c>
      <c r="J753" s="6"/>
      <c r="Q753" s="6" t="s">
        <v>39</v>
      </c>
      <c r="R753" s="6" t="s">
        <v>36</v>
      </c>
      <c r="U753" s="7">
        <v>60</v>
      </c>
    </row>
    <row r="754" spans="1:22" hidden="1" x14ac:dyDescent="0.3">
      <c r="A754" s="5">
        <v>897804</v>
      </c>
      <c r="B754" s="5" t="s">
        <v>2059</v>
      </c>
      <c r="C754" s="5" t="s">
        <v>1065</v>
      </c>
      <c r="D754" s="5" t="s">
        <v>2060</v>
      </c>
      <c r="E754" s="5" t="s">
        <v>2061</v>
      </c>
      <c r="G754" s="19" t="b">
        <f t="shared" si="11"/>
        <v>0</v>
      </c>
      <c r="H754" s="19" t="b">
        <f>AND(J754&lt;&gt;"", T754&gt;75)</f>
        <v>0</v>
      </c>
      <c r="I754" s="6">
        <v>338037</v>
      </c>
      <c r="J754" s="6" t="s">
        <v>2062</v>
      </c>
      <c r="K754" s="6" t="s">
        <v>308</v>
      </c>
      <c r="L754" s="13">
        <v>662277001984</v>
      </c>
      <c r="M754" s="6">
        <v>39121312</v>
      </c>
      <c r="N754" s="6" t="s">
        <v>2061</v>
      </c>
      <c r="O754" s="6">
        <v>256337</v>
      </c>
      <c r="P754" s="6" t="s">
        <v>2063</v>
      </c>
      <c r="Q754" s="6" t="s">
        <v>308</v>
      </c>
      <c r="S754" s="8">
        <v>0.98064405689503698</v>
      </c>
      <c r="T754" s="8">
        <v>32.043850822046899</v>
      </c>
      <c r="U754" s="8">
        <v>98.266101422375897</v>
      </c>
      <c r="V754" s="8">
        <v>46.779942351803797</v>
      </c>
    </row>
    <row r="755" spans="1:22" hidden="1" x14ac:dyDescent="0.3">
      <c r="A755" s="5">
        <v>897805</v>
      </c>
      <c r="B755" s="5" t="s">
        <v>2059</v>
      </c>
      <c r="C755" s="5" t="s">
        <v>1065</v>
      </c>
      <c r="D755" s="5" t="s">
        <v>2060</v>
      </c>
      <c r="E755" s="5" t="s">
        <v>2061</v>
      </c>
      <c r="G755" s="19" t="b">
        <f t="shared" si="11"/>
        <v>0</v>
      </c>
      <c r="H755" s="19" t="b">
        <f>AND(J755&lt;&gt;"", T755&gt;75)</f>
        <v>0</v>
      </c>
      <c r="I755" s="6">
        <v>338037</v>
      </c>
      <c r="J755" s="6" t="s">
        <v>2062</v>
      </c>
      <c r="K755" s="6" t="s">
        <v>308</v>
      </c>
      <c r="L755" s="13">
        <v>662277001984</v>
      </c>
      <c r="M755" s="6">
        <v>39121312</v>
      </c>
      <c r="N755" s="6" t="s">
        <v>2061</v>
      </c>
      <c r="O755" s="6">
        <v>256337</v>
      </c>
      <c r="P755" s="6" t="s">
        <v>2063</v>
      </c>
      <c r="Q755" s="6" t="s">
        <v>308</v>
      </c>
      <c r="S755" s="8">
        <v>0.98064405689503698</v>
      </c>
      <c r="T755" s="8">
        <v>32.043850822046899</v>
      </c>
      <c r="U755" s="8">
        <v>98.266101422375897</v>
      </c>
      <c r="V755" s="8">
        <v>46.779942351803797</v>
      </c>
    </row>
    <row r="756" spans="1:22" x14ac:dyDescent="0.3">
      <c r="A756" s="5">
        <v>897806</v>
      </c>
      <c r="B756" s="5" t="s">
        <v>2064</v>
      </c>
      <c r="C756" s="5" t="s">
        <v>1017</v>
      </c>
      <c r="E756" s="5" t="s">
        <v>2065</v>
      </c>
      <c r="G756" s="19" t="b">
        <f t="shared" si="11"/>
        <v>0</v>
      </c>
      <c r="H756" s="19" t="b">
        <f>AND(J756&lt;&gt;"", T756&gt;75)</f>
        <v>0</v>
      </c>
      <c r="J756" s="6"/>
    </row>
    <row r="757" spans="1:22" hidden="1" x14ac:dyDescent="0.3">
      <c r="A757" s="5">
        <v>897807</v>
      </c>
      <c r="B757" s="5" t="s">
        <v>2066</v>
      </c>
      <c r="C757" s="5" t="s">
        <v>1017</v>
      </c>
      <c r="D757" s="5" t="s">
        <v>2067</v>
      </c>
      <c r="E757" s="5" t="s">
        <v>2068</v>
      </c>
      <c r="G757" s="19" t="b">
        <f t="shared" si="11"/>
        <v>0</v>
      </c>
      <c r="H757" s="19" t="b">
        <f>AND(J757&lt;&gt;"", T757&gt;75)</f>
        <v>1</v>
      </c>
      <c r="I757" s="6">
        <v>335878</v>
      </c>
      <c r="J757" s="11" t="s">
        <v>2067</v>
      </c>
      <c r="K757" s="6" t="s">
        <v>112</v>
      </c>
      <c r="L757" s="13">
        <v>781011047139</v>
      </c>
      <c r="M757" s="6">
        <v>39121702</v>
      </c>
      <c r="N757" s="6" t="s">
        <v>2068</v>
      </c>
      <c r="O757" s="6">
        <v>253331</v>
      </c>
      <c r="P757" s="6" t="s">
        <v>2069</v>
      </c>
      <c r="Q757" s="6" t="s">
        <v>42</v>
      </c>
      <c r="S757" s="8">
        <v>0.776471620048647</v>
      </c>
      <c r="T757" s="8">
        <v>76.323581002432306</v>
      </c>
      <c r="U757" s="8">
        <v>80.323581002432306</v>
      </c>
      <c r="V757" s="8">
        <v>74.294324009729493</v>
      </c>
    </row>
    <row r="758" spans="1:22" x14ac:dyDescent="0.3">
      <c r="A758" s="5">
        <v>897808</v>
      </c>
      <c r="B758" s="5" t="s">
        <v>2070</v>
      </c>
      <c r="C758" s="5" t="s">
        <v>1065</v>
      </c>
      <c r="E758" s="5" t="s">
        <v>2071</v>
      </c>
      <c r="G758" s="19" t="b">
        <f t="shared" si="11"/>
        <v>0</v>
      </c>
      <c r="H758" s="19" t="b">
        <f>AND(J758&lt;&gt;"", T758&gt;75)</f>
        <v>0</v>
      </c>
      <c r="J758" s="6"/>
    </row>
    <row r="759" spans="1:22" hidden="1" x14ac:dyDescent="0.3">
      <c r="A759" s="5">
        <v>897809</v>
      </c>
      <c r="B759" s="5" t="s">
        <v>1433</v>
      </c>
      <c r="C759" s="5" t="s">
        <v>1065</v>
      </c>
      <c r="D759" s="5" t="s">
        <v>710</v>
      </c>
      <c r="E759" s="5" t="s">
        <v>711</v>
      </c>
      <c r="G759" s="19" t="b">
        <f t="shared" si="11"/>
        <v>0</v>
      </c>
      <c r="H759" s="19" t="b">
        <f>AND(J759&lt;&gt;"", T759&gt;75)</f>
        <v>1</v>
      </c>
      <c r="I759" s="6">
        <v>336381</v>
      </c>
      <c r="J759" s="11" t="s">
        <v>710</v>
      </c>
      <c r="K759" s="6" t="s">
        <v>308</v>
      </c>
      <c r="L759" s="13">
        <v>786189104035</v>
      </c>
      <c r="M759" s="6">
        <v>39121308</v>
      </c>
      <c r="N759" s="6" t="s">
        <v>711</v>
      </c>
      <c r="O759" s="6">
        <v>256184</v>
      </c>
      <c r="P759" s="6" t="s">
        <v>1434</v>
      </c>
      <c r="Q759" s="6" t="s">
        <v>308</v>
      </c>
      <c r="S759" s="7">
        <v>0.86494786916195798</v>
      </c>
      <c r="T759" s="8">
        <v>80.747393458097804</v>
      </c>
      <c r="U759" s="8">
        <v>84.747393458097804</v>
      </c>
      <c r="V759" s="8">
        <v>91.9895738323915</v>
      </c>
    </row>
    <row r="760" spans="1:22" hidden="1" x14ac:dyDescent="0.3">
      <c r="A760" s="5">
        <v>897810</v>
      </c>
      <c r="B760" s="5" t="s">
        <v>2059</v>
      </c>
      <c r="C760" s="5" t="s">
        <v>1065</v>
      </c>
      <c r="D760" s="5" t="s">
        <v>2060</v>
      </c>
      <c r="E760" s="5" t="s">
        <v>2061</v>
      </c>
      <c r="G760" s="19" t="b">
        <f t="shared" si="11"/>
        <v>0</v>
      </c>
      <c r="H760" s="19" t="b">
        <f>AND(J760&lt;&gt;"", T760&gt;75)</f>
        <v>0</v>
      </c>
      <c r="I760" s="6">
        <v>338037</v>
      </c>
      <c r="J760" s="6" t="s">
        <v>2062</v>
      </c>
      <c r="K760" s="6" t="s">
        <v>308</v>
      </c>
      <c r="L760" s="13">
        <v>662277001984</v>
      </c>
      <c r="M760" s="6">
        <v>39121312</v>
      </c>
      <c r="N760" s="6" t="s">
        <v>2061</v>
      </c>
      <c r="O760" s="6">
        <v>256337</v>
      </c>
      <c r="P760" s="6" t="s">
        <v>2063</v>
      </c>
      <c r="Q760" s="6" t="s">
        <v>308</v>
      </c>
      <c r="S760" s="8">
        <v>0.98064405689503698</v>
      </c>
      <c r="T760" s="8">
        <v>32.043850822046899</v>
      </c>
      <c r="U760" s="8">
        <v>98.266101422375897</v>
      </c>
      <c r="V760" s="8">
        <v>46.779942351803797</v>
      </c>
    </row>
    <row r="761" spans="1:22" hidden="1" x14ac:dyDescent="0.3">
      <c r="A761" s="5">
        <v>897811</v>
      </c>
      <c r="B761" s="5" t="s">
        <v>2026</v>
      </c>
      <c r="C761" s="5" t="s">
        <v>1065</v>
      </c>
      <c r="D761" s="5" t="s">
        <v>702</v>
      </c>
      <c r="E761" s="5" t="s">
        <v>719</v>
      </c>
      <c r="G761" s="19" t="b">
        <f t="shared" si="11"/>
        <v>0</v>
      </c>
      <c r="H761" s="19" t="b">
        <f>AND(J761&lt;&gt;"", T761&gt;75)</f>
        <v>1</v>
      </c>
      <c r="I761" s="6">
        <v>337871</v>
      </c>
      <c r="J761" s="11" t="s">
        <v>702</v>
      </c>
      <c r="K761" s="6" t="s">
        <v>308</v>
      </c>
      <c r="L761" s="13">
        <v>786189104288</v>
      </c>
      <c r="M761" s="6">
        <v>39121320</v>
      </c>
      <c r="N761" s="6" t="s">
        <v>703</v>
      </c>
      <c r="O761" s="6">
        <v>256430</v>
      </c>
      <c r="P761" s="6" t="s">
        <v>2027</v>
      </c>
      <c r="Q761" s="6" t="s">
        <v>308</v>
      </c>
      <c r="S761" s="8">
        <v>0.91884824889306904</v>
      </c>
      <c r="T761" s="8">
        <v>83.442412444653399</v>
      </c>
      <c r="U761" s="8">
        <v>87.442412444653399</v>
      </c>
      <c r="V761" s="7">
        <v>100</v>
      </c>
    </row>
    <row r="762" spans="1:22" hidden="1" x14ac:dyDescent="0.3">
      <c r="A762" s="5">
        <v>897812</v>
      </c>
      <c r="B762" s="5" t="s">
        <v>2072</v>
      </c>
      <c r="C762" s="5" t="s">
        <v>1065</v>
      </c>
      <c r="D762" s="5" t="s">
        <v>2073</v>
      </c>
      <c r="E762" s="5" t="s">
        <v>2074</v>
      </c>
      <c r="G762" s="19" t="b">
        <f t="shared" si="11"/>
        <v>0</v>
      </c>
      <c r="H762" s="19" t="b">
        <f>AND(J762&lt;&gt;"", T762&gt;75)</f>
        <v>0</v>
      </c>
      <c r="I762" s="6">
        <v>337922</v>
      </c>
      <c r="J762" s="6" t="s">
        <v>2073</v>
      </c>
      <c r="K762" s="6" t="s">
        <v>308</v>
      </c>
      <c r="L762" s="13">
        <v>786189105865</v>
      </c>
      <c r="M762" s="6">
        <v>39121321</v>
      </c>
      <c r="N762" s="6" t="s">
        <v>2074</v>
      </c>
      <c r="O762" s="6">
        <v>256495</v>
      </c>
      <c r="P762" s="6" t="s">
        <v>2075</v>
      </c>
      <c r="Q762" s="6" t="s">
        <v>308</v>
      </c>
      <c r="S762" s="8">
        <v>0.80730236432578995</v>
      </c>
      <c r="T762" s="8">
        <v>44.663759515473899</v>
      </c>
      <c r="U762" s="8">
        <v>38.7716645284234</v>
      </c>
      <c r="V762" s="8">
        <v>80.460472865157996</v>
      </c>
    </row>
    <row r="763" spans="1:22" x14ac:dyDescent="0.3">
      <c r="A763" s="5">
        <v>897813</v>
      </c>
      <c r="B763" s="5" t="s">
        <v>2076</v>
      </c>
      <c r="C763" s="5" t="s">
        <v>1094</v>
      </c>
      <c r="D763" s="5" t="s">
        <v>660</v>
      </c>
      <c r="E763" s="5" t="s">
        <v>661</v>
      </c>
      <c r="G763" s="19" t="b">
        <f t="shared" si="11"/>
        <v>1</v>
      </c>
      <c r="H763" s="19" t="b">
        <f>AND(J763&lt;&gt;"", T763&gt;75)</f>
        <v>0</v>
      </c>
      <c r="J763" s="6"/>
      <c r="Q763" s="6" t="s">
        <v>115</v>
      </c>
      <c r="R763" s="6" t="s">
        <v>1094</v>
      </c>
      <c r="U763" s="7">
        <v>60</v>
      </c>
    </row>
    <row r="764" spans="1:22" x14ac:dyDescent="0.3">
      <c r="A764" s="5">
        <v>897814</v>
      </c>
      <c r="B764" s="5" t="s">
        <v>1090</v>
      </c>
      <c r="C764" s="5" t="s">
        <v>36</v>
      </c>
      <c r="D764" s="5" t="s">
        <v>1091</v>
      </c>
      <c r="G764" s="19" t="b">
        <f t="shared" si="11"/>
        <v>1</v>
      </c>
      <c r="H764" s="19" t="b">
        <f>AND(J764&lt;&gt;"", T764&gt;75)</f>
        <v>0</v>
      </c>
      <c r="J764" s="6"/>
      <c r="Q764" s="6" t="s">
        <v>39</v>
      </c>
      <c r="R764" s="6" t="s">
        <v>36</v>
      </c>
      <c r="U764" s="7">
        <v>60</v>
      </c>
    </row>
    <row r="765" spans="1:22" hidden="1" x14ac:dyDescent="0.3">
      <c r="A765" s="5">
        <v>897815</v>
      </c>
      <c r="B765" s="5" t="s">
        <v>2077</v>
      </c>
      <c r="C765" s="5" t="s">
        <v>1065</v>
      </c>
      <c r="D765" s="5" t="s">
        <v>710</v>
      </c>
      <c r="E765" s="5" t="s">
        <v>711</v>
      </c>
      <c r="G765" s="19" t="b">
        <f t="shared" si="11"/>
        <v>0</v>
      </c>
      <c r="H765" s="19" t="b">
        <f>AND(J765&lt;&gt;"", T765&gt;75)</f>
        <v>1</v>
      </c>
      <c r="I765" s="6">
        <v>336381</v>
      </c>
      <c r="J765" s="11" t="s">
        <v>710</v>
      </c>
      <c r="K765" s="6" t="s">
        <v>308</v>
      </c>
      <c r="L765" s="13">
        <v>786189104035</v>
      </c>
      <c r="M765" s="6">
        <v>39121308</v>
      </c>
      <c r="N765" s="6" t="s">
        <v>711</v>
      </c>
      <c r="O765" s="6">
        <v>256185</v>
      </c>
      <c r="P765" s="6" t="s">
        <v>2078</v>
      </c>
      <c r="Q765" s="6" t="s">
        <v>308</v>
      </c>
      <c r="S765" s="8">
        <v>0.872252231105072</v>
      </c>
      <c r="T765" s="8">
        <v>81.112611555253594</v>
      </c>
      <c r="U765" s="8">
        <v>85.112611555253594</v>
      </c>
      <c r="V765" s="8">
        <v>93.450446221014403</v>
      </c>
    </row>
    <row r="766" spans="1:22" hidden="1" x14ac:dyDescent="0.3">
      <c r="A766" s="5">
        <v>897816</v>
      </c>
      <c r="B766" s="5" t="s">
        <v>2018</v>
      </c>
      <c r="C766" s="5" t="s">
        <v>1080</v>
      </c>
      <c r="D766" s="5" t="s">
        <v>2019</v>
      </c>
      <c r="E766" s="5" t="s">
        <v>2020</v>
      </c>
      <c r="G766" s="19" t="b">
        <f t="shared" si="11"/>
        <v>0</v>
      </c>
      <c r="H766" s="19" t="b">
        <f>AND(J766&lt;&gt;"", T766&gt;75)</f>
        <v>0</v>
      </c>
      <c r="I766" s="6">
        <v>335835</v>
      </c>
      <c r="J766" s="6" t="s">
        <v>2019</v>
      </c>
      <c r="K766" s="6" t="s">
        <v>379</v>
      </c>
      <c r="L766" s="14" t="s">
        <v>2021</v>
      </c>
      <c r="M766" s="6">
        <v>39131700</v>
      </c>
      <c r="N766" s="6" t="s">
        <v>2020</v>
      </c>
      <c r="O766" s="6">
        <v>252656</v>
      </c>
      <c r="P766" s="6" t="s">
        <v>2022</v>
      </c>
      <c r="Q766" s="6" t="s">
        <v>379</v>
      </c>
      <c r="S766" s="8">
        <v>0.96252462468151101</v>
      </c>
      <c r="T766" s="7">
        <v>21.316026036852101</v>
      </c>
      <c r="U766" s="8">
        <v>18.726747626851601</v>
      </c>
      <c r="V766" s="8">
        <v>30.577083936256301</v>
      </c>
    </row>
    <row r="767" spans="1:22" x14ac:dyDescent="0.3">
      <c r="A767" s="5">
        <v>897817</v>
      </c>
      <c r="B767" s="5" t="s">
        <v>1292</v>
      </c>
      <c r="C767" s="5" t="s">
        <v>1017</v>
      </c>
      <c r="D767" s="5" t="s">
        <v>1293</v>
      </c>
      <c r="E767" s="5" t="s">
        <v>1294</v>
      </c>
      <c r="G767" s="19" t="b">
        <f t="shared" si="11"/>
        <v>0</v>
      </c>
      <c r="H767" s="19" t="b">
        <f>AND(J767&lt;&gt;"", T767&gt;75)</f>
        <v>0</v>
      </c>
      <c r="J767" s="6"/>
    </row>
    <row r="768" spans="1:22" hidden="1" x14ac:dyDescent="0.3">
      <c r="A768" s="5">
        <v>897818</v>
      </c>
      <c r="B768" s="5" t="s">
        <v>2079</v>
      </c>
      <c r="C768" s="5" t="s">
        <v>1067</v>
      </c>
      <c r="D768" s="5" t="s">
        <v>2080</v>
      </c>
      <c r="E768" s="5" t="s">
        <v>2081</v>
      </c>
      <c r="G768" s="19" t="b">
        <f t="shared" si="11"/>
        <v>0</v>
      </c>
      <c r="H768" s="19" t="b">
        <f>AND(J768&lt;&gt;"", T768&gt;75)</f>
        <v>1</v>
      </c>
      <c r="I768" s="6">
        <v>215770</v>
      </c>
      <c r="J768" s="11" t="s">
        <v>2080</v>
      </c>
      <c r="K768" s="6" t="s">
        <v>281</v>
      </c>
      <c r="L768" s="13">
        <v>781002177852</v>
      </c>
      <c r="M768" s="6">
        <v>31161528</v>
      </c>
      <c r="O768" s="6">
        <v>208397</v>
      </c>
      <c r="P768" s="6" t="s">
        <v>2082</v>
      </c>
      <c r="Q768" s="6" t="s">
        <v>281</v>
      </c>
      <c r="S768" s="8">
        <v>0.93140307829843605</v>
      </c>
      <c r="T768" s="7">
        <v>100</v>
      </c>
      <c r="U768" s="7">
        <v>100</v>
      </c>
      <c r="V768" s="7">
        <v>100</v>
      </c>
    </row>
    <row r="769" spans="1:22" hidden="1" x14ac:dyDescent="0.3">
      <c r="A769" s="5">
        <v>897819</v>
      </c>
      <c r="B769" s="5" t="s">
        <v>2083</v>
      </c>
      <c r="C769" s="5" t="s">
        <v>1053</v>
      </c>
      <c r="D769" s="5" t="s">
        <v>2084</v>
      </c>
      <c r="E769" s="5" t="s">
        <v>2085</v>
      </c>
      <c r="G769" s="19" t="b">
        <f t="shared" si="11"/>
        <v>0</v>
      </c>
      <c r="H769" s="19" t="b">
        <f>AND(J769&lt;&gt;"", T769&gt;75)</f>
        <v>1</v>
      </c>
      <c r="I769" s="6">
        <v>336570</v>
      </c>
      <c r="J769" s="11">
        <v>303392</v>
      </c>
      <c r="K769" s="6" t="s">
        <v>565</v>
      </c>
      <c r="L769" s="13">
        <v>783250474981</v>
      </c>
      <c r="M769" s="6">
        <v>39121613</v>
      </c>
      <c r="N769" s="6" t="s">
        <v>2085</v>
      </c>
      <c r="O769" s="6">
        <v>260598</v>
      </c>
      <c r="P769" s="6" t="s">
        <v>2086</v>
      </c>
      <c r="Q769" s="6" t="s">
        <v>565</v>
      </c>
      <c r="S769" s="8">
        <v>0.89785293153643297</v>
      </c>
      <c r="T769" s="8">
        <v>82.392646576821605</v>
      </c>
      <c r="U769" s="8">
        <v>86.392646576821605</v>
      </c>
      <c r="V769" s="8">
        <v>98.570586307286703</v>
      </c>
    </row>
    <row r="770" spans="1:22" x14ac:dyDescent="0.3">
      <c r="A770" s="5">
        <v>897820</v>
      </c>
      <c r="B770" s="5" t="s">
        <v>2087</v>
      </c>
      <c r="C770" s="5" t="s">
        <v>2088</v>
      </c>
      <c r="D770" s="5" t="s">
        <v>2089</v>
      </c>
      <c r="E770" s="5" t="s">
        <v>2090</v>
      </c>
      <c r="G770" s="19" t="b">
        <f t="shared" si="11"/>
        <v>1</v>
      </c>
      <c r="H770" s="19" t="b">
        <f>AND(J770&lt;&gt;"", T770&gt;75)</f>
        <v>0</v>
      </c>
      <c r="J770" s="6"/>
      <c r="Q770" s="6" t="s">
        <v>2091</v>
      </c>
      <c r="R770" s="6" t="s">
        <v>2088</v>
      </c>
      <c r="U770" s="7">
        <v>70</v>
      </c>
    </row>
    <row r="771" spans="1:22" hidden="1" x14ac:dyDescent="0.3">
      <c r="A771" s="5">
        <v>897821</v>
      </c>
      <c r="B771" s="5" t="s">
        <v>2092</v>
      </c>
      <c r="C771" s="5" t="s">
        <v>1134</v>
      </c>
      <c r="D771" s="5" t="s">
        <v>2093</v>
      </c>
      <c r="E771" s="5" t="s">
        <v>2094</v>
      </c>
      <c r="G771" s="19" t="b">
        <f t="shared" ref="G771:G834" si="12">(R771&lt;&gt;"")</f>
        <v>0</v>
      </c>
      <c r="H771" s="19" t="b">
        <f>AND(J771&lt;&gt;"", T771&gt;75)</f>
        <v>1</v>
      </c>
      <c r="I771" s="6">
        <v>338863</v>
      </c>
      <c r="J771" s="11" t="s">
        <v>2095</v>
      </c>
      <c r="K771" s="6" t="s">
        <v>65</v>
      </c>
      <c r="L771" s="13">
        <v>783310309192</v>
      </c>
      <c r="M771" s="6">
        <v>27111509</v>
      </c>
      <c r="N771" s="6" t="s">
        <v>2094</v>
      </c>
      <c r="O771" s="6">
        <v>259012</v>
      </c>
      <c r="P771" s="6" t="s">
        <v>2096</v>
      </c>
      <c r="Q771" s="6" t="s">
        <v>65</v>
      </c>
      <c r="S771" s="8">
        <v>0.88876393575214596</v>
      </c>
      <c r="T771" s="8">
        <v>86.938196787607296</v>
      </c>
      <c r="U771" s="8">
        <v>88.938196787607296</v>
      </c>
      <c r="V771" s="8">
        <v>99.752787150429299</v>
      </c>
    </row>
    <row r="772" spans="1:22" hidden="1" x14ac:dyDescent="0.3">
      <c r="A772" s="5">
        <v>897822</v>
      </c>
      <c r="B772" s="5" t="s">
        <v>2097</v>
      </c>
      <c r="C772" s="5" t="s">
        <v>1813</v>
      </c>
      <c r="D772" s="5" t="s">
        <v>2098</v>
      </c>
      <c r="E772" s="5" t="s">
        <v>2099</v>
      </c>
      <c r="G772" s="19" t="b">
        <f t="shared" si="12"/>
        <v>0</v>
      </c>
      <c r="H772" s="19" t="b">
        <f>AND(J772&lt;&gt;"", T772&gt;75)</f>
        <v>0</v>
      </c>
      <c r="I772" s="6">
        <v>172319</v>
      </c>
      <c r="J772" s="6">
        <v>1316</v>
      </c>
      <c r="K772" s="6" t="s">
        <v>799</v>
      </c>
      <c r="L772" s="13">
        <v>783669983319</v>
      </c>
      <c r="M772" s="6">
        <v>39121405</v>
      </c>
      <c r="O772" s="6">
        <v>118391</v>
      </c>
      <c r="P772" s="6" t="s">
        <v>2100</v>
      </c>
      <c r="Q772" s="6" t="s">
        <v>799</v>
      </c>
      <c r="S772" s="8">
        <v>0.49118487363730101</v>
      </c>
      <c r="T772" s="8">
        <v>25.4846056257641</v>
      </c>
      <c r="U772" s="8">
        <v>15.1430136041245</v>
      </c>
      <c r="V772" s="7">
        <v>0</v>
      </c>
    </row>
    <row r="773" spans="1:22" hidden="1" x14ac:dyDescent="0.3">
      <c r="A773" s="5">
        <v>897824</v>
      </c>
      <c r="B773" s="5" t="s">
        <v>2083</v>
      </c>
      <c r="C773" s="5" t="s">
        <v>1053</v>
      </c>
      <c r="D773" s="5" t="s">
        <v>2084</v>
      </c>
      <c r="E773" s="5" t="s">
        <v>2085</v>
      </c>
      <c r="G773" s="19" t="b">
        <f t="shared" si="12"/>
        <v>0</v>
      </c>
      <c r="H773" s="19" t="b">
        <f>AND(J773&lt;&gt;"", T773&gt;75)</f>
        <v>1</v>
      </c>
      <c r="I773" s="6">
        <v>336570</v>
      </c>
      <c r="J773" s="11">
        <v>303392</v>
      </c>
      <c r="K773" s="6" t="s">
        <v>565</v>
      </c>
      <c r="L773" s="13">
        <v>783250474981</v>
      </c>
      <c r="M773" s="6">
        <v>39121613</v>
      </c>
      <c r="N773" s="6" t="s">
        <v>2085</v>
      </c>
      <c r="O773" s="6">
        <v>260598</v>
      </c>
      <c r="P773" s="6" t="s">
        <v>2086</v>
      </c>
      <c r="Q773" s="6" t="s">
        <v>565</v>
      </c>
      <c r="S773" s="8">
        <v>0.89785293153643297</v>
      </c>
      <c r="T773" s="8">
        <v>82.392646576821605</v>
      </c>
      <c r="U773" s="8">
        <v>86.392646576821605</v>
      </c>
      <c r="V773" s="8">
        <v>98.570586307286703</v>
      </c>
    </row>
    <row r="774" spans="1:22" x14ac:dyDescent="0.3">
      <c r="A774" s="5">
        <v>897825</v>
      </c>
      <c r="B774" s="5" t="s">
        <v>2101</v>
      </c>
      <c r="C774" s="5" t="s">
        <v>2102</v>
      </c>
      <c r="D774" s="5" t="s">
        <v>2103</v>
      </c>
      <c r="G774" s="19" t="b">
        <f t="shared" si="12"/>
        <v>1</v>
      </c>
      <c r="H774" s="19" t="b">
        <f>AND(J774&lt;&gt;"", T774&gt;75)</f>
        <v>0</v>
      </c>
      <c r="J774" s="6"/>
      <c r="Q774" s="6" t="s">
        <v>39</v>
      </c>
      <c r="R774" s="6" t="s">
        <v>126</v>
      </c>
      <c r="U774" s="7">
        <v>60</v>
      </c>
    </row>
    <row r="775" spans="1:22" x14ac:dyDescent="0.3">
      <c r="A775" s="5">
        <v>897826</v>
      </c>
      <c r="B775" s="5" t="s">
        <v>2104</v>
      </c>
      <c r="C775" s="5" t="s">
        <v>1557</v>
      </c>
      <c r="D775" s="5" t="s">
        <v>2105</v>
      </c>
      <c r="G775" s="19" t="b">
        <f t="shared" si="12"/>
        <v>1</v>
      </c>
      <c r="H775" s="19" t="b">
        <f>AND(J775&lt;&gt;"", T775&gt;75)</f>
        <v>0</v>
      </c>
      <c r="J775" s="6"/>
      <c r="Q775" s="6" t="s">
        <v>39</v>
      </c>
      <c r="R775" s="6" t="s">
        <v>126</v>
      </c>
      <c r="U775" s="7">
        <v>60</v>
      </c>
    </row>
    <row r="776" spans="1:22" x14ac:dyDescent="0.3">
      <c r="A776" s="5">
        <v>897827</v>
      </c>
      <c r="B776" s="5" t="s">
        <v>2106</v>
      </c>
      <c r="C776" s="5" t="s">
        <v>2107</v>
      </c>
      <c r="G776" s="19" t="b">
        <f t="shared" si="12"/>
        <v>0</v>
      </c>
      <c r="H776" s="19" t="b">
        <f>AND(J776&lt;&gt;"", T776&gt;75)</f>
        <v>0</v>
      </c>
      <c r="J776" s="6"/>
    </row>
    <row r="777" spans="1:22" x14ac:dyDescent="0.3">
      <c r="A777" s="5">
        <v>897828</v>
      </c>
      <c r="B777" s="5" t="s">
        <v>2108</v>
      </c>
      <c r="C777" s="5" t="s">
        <v>2109</v>
      </c>
      <c r="G777" s="19" t="b">
        <f t="shared" si="12"/>
        <v>0</v>
      </c>
      <c r="H777" s="19" t="b">
        <f>AND(J777&lt;&gt;"", T777&gt;75)</f>
        <v>0</v>
      </c>
      <c r="J777" s="6"/>
    </row>
    <row r="778" spans="1:22" x14ac:dyDescent="0.3">
      <c r="A778" s="5">
        <v>897829</v>
      </c>
      <c r="B778" s="5" t="s">
        <v>2110</v>
      </c>
      <c r="C778" s="5" t="s">
        <v>2107</v>
      </c>
      <c r="G778" s="19" t="b">
        <f t="shared" si="12"/>
        <v>0</v>
      </c>
      <c r="H778" s="19" t="b">
        <f>AND(J778&lt;&gt;"", T778&gt;75)</f>
        <v>0</v>
      </c>
      <c r="J778" s="6"/>
    </row>
    <row r="779" spans="1:22" x14ac:dyDescent="0.3">
      <c r="A779" s="5">
        <v>897830</v>
      </c>
      <c r="B779" s="5" t="s">
        <v>2111</v>
      </c>
      <c r="C779" s="5" t="s">
        <v>2107</v>
      </c>
      <c r="G779" s="19" t="b">
        <f t="shared" si="12"/>
        <v>0</v>
      </c>
      <c r="H779" s="19" t="b">
        <f>AND(J779&lt;&gt;"", T779&gt;75)</f>
        <v>0</v>
      </c>
      <c r="J779" s="6"/>
    </row>
    <row r="780" spans="1:22" x14ac:dyDescent="0.3">
      <c r="A780" s="5">
        <v>897831</v>
      </c>
      <c r="B780" s="5" t="s">
        <v>2108</v>
      </c>
      <c r="C780" s="5" t="s">
        <v>2109</v>
      </c>
      <c r="G780" s="19" t="b">
        <f t="shared" si="12"/>
        <v>0</v>
      </c>
      <c r="H780" s="19" t="b">
        <f>AND(J780&lt;&gt;"", T780&gt;75)</f>
        <v>0</v>
      </c>
      <c r="J780" s="6"/>
    </row>
    <row r="781" spans="1:22" x14ac:dyDescent="0.3">
      <c r="A781" s="5">
        <v>897832</v>
      </c>
      <c r="B781" s="5" t="s">
        <v>2112</v>
      </c>
      <c r="C781" s="5" t="s">
        <v>2113</v>
      </c>
      <c r="D781" s="5" t="s">
        <v>2114</v>
      </c>
      <c r="E781" s="5" t="s">
        <v>2115</v>
      </c>
      <c r="G781" s="19" t="b">
        <f t="shared" si="12"/>
        <v>1</v>
      </c>
      <c r="H781" s="19" t="b">
        <f>AND(J781&lt;&gt;"", T781&gt;75)</f>
        <v>0</v>
      </c>
      <c r="J781" s="6"/>
      <c r="Q781" s="6" t="s">
        <v>39</v>
      </c>
      <c r="R781" s="6" t="s">
        <v>36</v>
      </c>
      <c r="U781" s="7">
        <v>60</v>
      </c>
    </row>
    <row r="782" spans="1:22" x14ac:dyDescent="0.3">
      <c r="A782" s="5">
        <v>897833</v>
      </c>
      <c r="B782" s="5" t="s">
        <v>2106</v>
      </c>
      <c r="C782" s="5" t="s">
        <v>2107</v>
      </c>
      <c r="G782" s="19" t="b">
        <f t="shared" si="12"/>
        <v>0</v>
      </c>
      <c r="H782" s="19" t="b">
        <f>AND(J782&lt;&gt;"", T782&gt;75)</f>
        <v>0</v>
      </c>
      <c r="J782" s="6"/>
    </row>
    <row r="783" spans="1:22" hidden="1" x14ac:dyDescent="0.3">
      <c r="A783" s="5">
        <v>897834</v>
      </c>
      <c r="B783" s="5" t="s">
        <v>2116</v>
      </c>
      <c r="C783" s="5" t="s">
        <v>1813</v>
      </c>
      <c r="D783" s="5" t="s">
        <v>2117</v>
      </c>
      <c r="E783" s="5" t="s">
        <v>2118</v>
      </c>
      <c r="G783" s="19" t="b">
        <f t="shared" si="12"/>
        <v>0</v>
      </c>
      <c r="H783" s="19" t="b">
        <f>AND(J783&lt;&gt;"", T783&gt;75)</f>
        <v>1</v>
      </c>
      <c r="I783" s="6">
        <v>341252</v>
      </c>
      <c r="J783" s="11" t="s">
        <v>2119</v>
      </c>
      <c r="K783" s="6" t="s">
        <v>1817</v>
      </c>
      <c r="L783" s="13">
        <v>702316501423</v>
      </c>
      <c r="M783" s="6">
        <v>31161812</v>
      </c>
      <c r="N783" s="6" t="s">
        <v>2118</v>
      </c>
      <c r="O783" s="6">
        <v>265795</v>
      </c>
      <c r="P783" s="6" t="s">
        <v>2120</v>
      </c>
      <c r="Q783" s="6" t="s">
        <v>1817</v>
      </c>
      <c r="S783" s="8">
        <v>0.89381559106002495</v>
      </c>
      <c r="T783" s="8">
        <v>97.190779553001207</v>
      </c>
      <c r="U783" s="8">
        <v>61.1907795530012</v>
      </c>
      <c r="V783" s="7">
        <v>100</v>
      </c>
    </row>
    <row r="784" spans="1:22" x14ac:dyDescent="0.3">
      <c r="A784" s="5">
        <v>897835</v>
      </c>
      <c r="B784" s="5" t="s">
        <v>2121</v>
      </c>
      <c r="C784" s="5" t="s">
        <v>2107</v>
      </c>
      <c r="G784" s="19" t="b">
        <f t="shared" si="12"/>
        <v>0</v>
      </c>
      <c r="H784" s="19" t="b">
        <f>AND(J784&lt;&gt;"", T784&gt;75)</f>
        <v>0</v>
      </c>
      <c r="J784" s="6"/>
    </row>
    <row r="785" spans="1:22" x14ac:dyDescent="0.3">
      <c r="A785" s="5">
        <v>897836</v>
      </c>
      <c r="B785" s="5" t="s">
        <v>2122</v>
      </c>
      <c r="C785" s="5" t="s">
        <v>2107</v>
      </c>
      <c r="G785" s="19" t="b">
        <f t="shared" si="12"/>
        <v>0</v>
      </c>
      <c r="H785" s="19" t="b">
        <f>AND(J785&lt;&gt;"", T785&gt;75)</f>
        <v>0</v>
      </c>
      <c r="J785" s="6"/>
    </row>
    <row r="786" spans="1:22" x14ac:dyDescent="0.3">
      <c r="A786" s="5">
        <v>897837</v>
      </c>
      <c r="B786" s="5" t="s">
        <v>2123</v>
      </c>
      <c r="C786" s="5" t="s">
        <v>2124</v>
      </c>
      <c r="D786" s="5" t="s">
        <v>2125</v>
      </c>
      <c r="G786" s="19" t="b">
        <f t="shared" si="12"/>
        <v>0</v>
      </c>
      <c r="H786" s="19" t="b">
        <f>AND(J786&lt;&gt;"", T786&gt;75)</f>
        <v>0</v>
      </c>
      <c r="J786" s="6"/>
    </row>
    <row r="787" spans="1:22" x14ac:dyDescent="0.3">
      <c r="A787" s="5">
        <v>897838</v>
      </c>
      <c r="B787" s="5" t="s">
        <v>2126</v>
      </c>
      <c r="C787" s="5" t="s">
        <v>2107</v>
      </c>
      <c r="G787" s="19" t="b">
        <f t="shared" si="12"/>
        <v>0</v>
      </c>
      <c r="H787" s="19" t="b">
        <f>AND(J787&lt;&gt;"", T787&gt;75)</f>
        <v>0</v>
      </c>
      <c r="J787" s="6"/>
    </row>
    <row r="788" spans="1:22" x14ac:dyDescent="0.3">
      <c r="A788" s="5">
        <v>897839</v>
      </c>
      <c r="B788" s="5" t="s">
        <v>2127</v>
      </c>
      <c r="C788" s="5" t="s">
        <v>2124</v>
      </c>
      <c r="D788" s="5" t="s">
        <v>2128</v>
      </c>
      <c r="G788" s="19" t="b">
        <f t="shared" si="12"/>
        <v>0</v>
      </c>
      <c r="H788" s="19" t="b">
        <f>AND(J788&lt;&gt;"", T788&gt;75)</f>
        <v>0</v>
      </c>
      <c r="J788" s="6"/>
    </row>
    <row r="789" spans="1:22" hidden="1" x14ac:dyDescent="0.3">
      <c r="A789" s="5">
        <v>897840</v>
      </c>
      <c r="B789" s="5" t="s">
        <v>2129</v>
      </c>
      <c r="C789" s="5" t="s">
        <v>1813</v>
      </c>
      <c r="D789" s="5" t="s">
        <v>2130</v>
      </c>
      <c r="E789" s="5" t="s">
        <v>2131</v>
      </c>
      <c r="G789" s="19" t="b">
        <f t="shared" si="12"/>
        <v>0</v>
      </c>
      <c r="H789" s="19" t="b">
        <f>AND(J789&lt;&gt;"", T789&gt;75)</f>
        <v>1</v>
      </c>
      <c r="I789" s="6">
        <v>341260</v>
      </c>
      <c r="J789" s="11" t="s">
        <v>2132</v>
      </c>
      <c r="K789" s="6" t="s">
        <v>1817</v>
      </c>
      <c r="L789" s="13">
        <v>702316501416</v>
      </c>
      <c r="M789" s="6">
        <v>31161800</v>
      </c>
      <c r="N789" s="6" t="s">
        <v>2131</v>
      </c>
      <c r="O789" s="6">
        <v>265821</v>
      </c>
      <c r="P789" s="6" t="s">
        <v>2133</v>
      </c>
      <c r="Q789" s="6" t="s">
        <v>1817</v>
      </c>
      <c r="S789" s="8">
        <v>0.84581358061716705</v>
      </c>
      <c r="T789" s="8">
        <v>94.7906790308583</v>
      </c>
      <c r="U789" s="8">
        <v>58.7906790308583</v>
      </c>
      <c r="V789" s="8">
        <v>93.162716123433398</v>
      </c>
    </row>
    <row r="790" spans="1:22" x14ac:dyDescent="0.3">
      <c r="A790" s="5">
        <v>897841</v>
      </c>
      <c r="B790" s="5" t="s">
        <v>2134</v>
      </c>
      <c r="C790" s="5" t="s">
        <v>2107</v>
      </c>
      <c r="G790" s="19" t="b">
        <f t="shared" si="12"/>
        <v>0</v>
      </c>
      <c r="H790" s="19" t="b">
        <f>AND(J790&lt;&gt;"", T790&gt;75)</f>
        <v>0</v>
      </c>
      <c r="J790" s="6"/>
    </row>
    <row r="791" spans="1:22" x14ac:dyDescent="0.3">
      <c r="A791" s="5">
        <v>897842</v>
      </c>
      <c r="B791" s="5" t="s">
        <v>2135</v>
      </c>
      <c r="C791" s="5" t="s">
        <v>2136</v>
      </c>
      <c r="G791" s="19" t="b">
        <f t="shared" si="12"/>
        <v>0</v>
      </c>
      <c r="H791" s="19" t="b">
        <f>AND(J791&lt;&gt;"", T791&gt;75)</f>
        <v>0</v>
      </c>
      <c r="J791" s="6"/>
    </row>
    <row r="792" spans="1:22" x14ac:dyDescent="0.3">
      <c r="A792" s="5">
        <v>897843</v>
      </c>
      <c r="B792" s="5" t="s">
        <v>2137</v>
      </c>
      <c r="C792" s="5" t="s">
        <v>2107</v>
      </c>
      <c r="G792" s="19" t="b">
        <f t="shared" si="12"/>
        <v>0</v>
      </c>
      <c r="H792" s="19" t="b">
        <f>AND(J792&lt;&gt;"", T792&gt;75)</f>
        <v>0</v>
      </c>
      <c r="J792" s="6"/>
    </row>
    <row r="793" spans="1:22" x14ac:dyDescent="0.3">
      <c r="A793" s="5">
        <v>897844</v>
      </c>
      <c r="B793" s="5" t="s">
        <v>2138</v>
      </c>
      <c r="C793" s="5" t="s">
        <v>2139</v>
      </c>
      <c r="G793" s="19" t="b">
        <f t="shared" si="12"/>
        <v>0</v>
      </c>
      <c r="H793" s="19" t="b">
        <f>AND(J793&lt;&gt;"", T793&gt;75)</f>
        <v>0</v>
      </c>
      <c r="J793" s="6"/>
    </row>
    <row r="794" spans="1:22" hidden="1" x14ac:dyDescent="0.3">
      <c r="A794" s="5">
        <v>897845</v>
      </c>
      <c r="B794" s="5" t="s">
        <v>2140</v>
      </c>
      <c r="C794" s="5" t="s">
        <v>1017</v>
      </c>
      <c r="D794" s="5" t="s">
        <v>2141</v>
      </c>
      <c r="E794" s="5" t="s">
        <v>2142</v>
      </c>
      <c r="G794" s="19" t="b">
        <f t="shared" si="12"/>
        <v>0</v>
      </c>
      <c r="H794" s="19" t="b">
        <f>AND(J794&lt;&gt;"", T794&gt;75)</f>
        <v>1</v>
      </c>
      <c r="I794" s="6">
        <v>337244</v>
      </c>
      <c r="J794" s="11" t="s">
        <v>2141</v>
      </c>
      <c r="K794" s="6" t="s">
        <v>112</v>
      </c>
      <c r="L794" s="13">
        <v>781011403737</v>
      </c>
      <c r="M794" s="6">
        <v>31161708</v>
      </c>
      <c r="N794" s="6" t="s">
        <v>2142</v>
      </c>
      <c r="O794" s="6">
        <v>253355</v>
      </c>
      <c r="P794" s="6" t="s">
        <v>2143</v>
      </c>
      <c r="Q794" s="6" t="s">
        <v>42</v>
      </c>
      <c r="S794" s="8">
        <v>0.96505571213670904</v>
      </c>
      <c r="T794" s="8">
        <v>90.752785606835403</v>
      </c>
      <c r="U794" s="8">
        <v>92.752785606835403</v>
      </c>
      <c r="V794" s="7">
        <v>100</v>
      </c>
    </row>
    <row r="795" spans="1:22" x14ac:dyDescent="0.3">
      <c r="A795" s="5">
        <v>897846</v>
      </c>
      <c r="B795" s="5" t="s">
        <v>2111</v>
      </c>
      <c r="C795" s="5" t="s">
        <v>2107</v>
      </c>
      <c r="G795" s="19" t="b">
        <f t="shared" si="12"/>
        <v>0</v>
      </c>
      <c r="H795" s="19" t="b">
        <f>AND(J795&lt;&gt;"", T795&gt;75)</f>
        <v>0</v>
      </c>
      <c r="J795" s="6"/>
    </row>
    <row r="796" spans="1:22" x14ac:dyDescent="0.3">
      <c r="A796" s="5">
        <v>897847</v>
      </c>
      <c r="B796" s="5" t="s">
        <v>2144</v>
      </c>
      <c r="C796" s="5" t="s">
        <v>2109</v>
      </c>
      <c r="G796" s="19" t="b">
        <f t="shared" si="12"/>
        <v>0</v>
      </c>
      <c r="H796" s="19" t="b">
        <f>AND(J796&lt;&gt;"", T796&gt;75)</f>
        <v>0</v>
      </c>
      <c r="J796" s="6"/>
    </row>
    <row r="797" spans="1:22" x14ac:dyDescent="0.3">
      <c r="A797" s="5">
        <v>897848</v>
      </c>
      <c r="B797" s="5" t="s">
        <v>2110</v>
      </c>
      <c r="C797" s="5" t="s">
        <v>2107</v>
      </c>
      <c r="G797" s="19" t="b">
        <f t="shared" si="12"/>
        <v>0</v>
      </c>
      <c r="H797" s="19" t="b">
        <f>AND(J797&lt;&gt;"", T797&gt;75)</f>
        <v>0</v>
      </c>
      <c r="J797" s="6"/>
    </row>
    <row r="798" spans="1:22" x14ac:dyDescent="0.3">
      <c r="A798" s="5">
        <v>897849</v>
      </c>
      <c r="B798" s="5" t="s">
        <v>2145</v>
      </c>
      <c r="C798" s="5" t="s">
        <v>1360</v>
      </c>
      <c r="D798" s="5" t="s">
        <v>2146</v>
      </c>
      <c r="E798" s="5" t="s">
        <v>2147</v>
      </c>
      <c r="G798" s="19" t="b">
        <f t="shared" si="12"/>
        <v>1</v>
      </c>
      <c r="H798" s="19" t="b">
        <f>AND(J798&lt;&gt;"", T798&gt;75)</f>
        <v>0</v>
      </c>
      <c r="J798" s="6"/>
      <c r="Q798" s="6" t="s">
        <v>33</v>
      </c>
      <c r="R798" s="6" t="s">
        <v>34</v>
      </c>
      <c r="U798" s="7">
        <v>60</v>
      </c>
    </row>
    <row r="799" spans="1:22" x14ac:dyDescent="0.3">
      <c r="A799" s="5">
        <v>897850</v>
      </c>
      <c r="B799" s="5" t="s">
        <v>2148</v>
      </c>
      <c r="C799" s="5" t="s">
        <v>2109</v>
      </c>
      <c r="G799" s="19" t="b">
        <f t="shared" si="12"/>
        <v>0</v>
      </c>
      <c r="H799" s="19" t="b">
        <f>AND(J799&lt;&gt;"", T799&gt;75)</f>
        <v>0</v>
      </c>
      <c r="J799" s="6"/>
    </row>
    <row r="800" spans="1:22" hidden="1" x14ac:dyDescent="0.3">
      <c r="A800" s="5">
        <v>897851</v>
      </c>
      <c r="B800" s="5" t="s">
        <v>2149</v>
      </c>
      <c r="C800" s="5" t="s">
        <v>2139</v>
      </c>
      <c r="D800" s="5" t="s">
        <v>2150</v>
      </c>
      <c r="G800" s="19" t="b">
        <f t="shared" si="12"/>
        <v>0</v>
      </c>
      <c r="H800" s="19" t="b">
        <f>AND(J800&lt;&gt;"", T800&gt;75)</f>
        <v>1</v>
      </c>
      <c r="I800" s="6">
        <v>320596</v>
      </c>
      <c r="J800" s="11" t="s">
        <v>2150</v>
      </c>
      <c r="K800" s="6" t="s">
        <v>326</v>
      </c>
      <c r="L800" s="13">
        <v>751338041790</v>
      </c>
      <c r="M800" s="6">
        <v>31161700</v>
      </c>
      <c r="O800" s="6">
        <v>23224</v>
      </c>
      <c r="P800" s="6" t="s">
        <v>2151</v>
      </c>
      <c r="Q800" s="6" t="s">
        <v>326</v>
      </c>
      <c r="S800" s="8">
        <v>0.79157738641771103</v>
      </c>
      <c r="T800" s="8">
        <v>87.078869320885502</v>
      </c>
      <c r="U800" s="8">
        <v>87.078869320885502</v>
      </c>
      <c r="V800" s="7">
        <v>83.315477283542293</v>
      </c>
    </row>
    <row r="801" spans="1:22" x14ac:dyDescent="0.3">
      <c r="A801" s="5">
        <v>897852</v>
      </c>
      <c r="B801" s="5" t="s">
        <v>2152</v>
      </c>
      <c r="C801" s="5" t="s">
        <v>2109</v>
      </c>
      <c r="G801" s="19" t="b">
        <f t="shared" si="12"/>
        <v>0</v>
      </c>
      <c r="H801" s="19" t="b">
        <f>AND(J801&lt;&gt;"", T801&gt;75)</f>
        <v>0</v>
      </c>
      <c r="J801" s="6"/>
    </row>
    <row r="802" spans="1:22" hidden="1" x14ac:dyDescent="0.3">
      <c r="A802" s="5">
        <v>897853</v>
      </c>
      <c r="B802" s="5" t="s">
        <v>2153</v>
      </c>
      <c r="C802" s="5" t="s">
        <v>1813</v>
      </c>
      <c r="D802" s="5" t="s">
        <v>2154</v>
      </c>
      <c r="E802" s="5" t="s">
        <v>2155</v>
      </c>
      <c r="G802" s="19" t="b">
        <f t="shared" si="12"/>
        <v>0</v>
      </c>
      <c r="H802" s="19" t="b">
        <f>AND(J802&lt;&gt;"", T802&gt;75)</f>
        <v>1</v>
      </c>
      <c r="I802" s="6">
        <v>341257</v>
      </c>
      <c r="J802" s="11" t="s">
        <v>2156</v>
      </c>
      <c r="K802" s="6" t="s">
        <v>1817</v>
      </c>
      <c r="L802" s="13">
        <v>702316501126</v>
      </c>
      <c r="M802" s="6">
        <v>31162905</v>
      </c>
      <c r="N802" s="6" t="s">
        <v>2155</v>
      </c>
      <c r="O802" s="6">
        <v>265810</v>
      </c>
      <c r="P802" s="6" t="s">
        <v>2157</v>
      </c>
      <c r="Q802" s="6" t="s">
        <v>1817</v>
      </c>
      <c r="S802" s="8">
        <v>0.96151759093456202</v>
      </c>
      <c r="T802" s="7">
        <v>100</v>
      </c>
      <c r="U802" s="8">
        <v>64.575879546728103</v>
      </c>
      <c r="V802" s="7">
        <v>100</v>
      </c>
    </row>
    <row r="803" spans="1:22" hidden="1" x14ac:dyDescent="0.3">
      <c r="A803" s="5">
        <v>897854</v>
      </c>
      <c r="B803" s="5" t="s">
        <v>2129</v>
      </c>
      <c r="C803" s="5" t="s">
        <v>1813</v>
      </c>
      <c r="D803" s="5" t="s">
        <v>2130</v>
      </c>
      <c r="E803" s="5" t="s">
        <v>2131</v>
      </c>
      <c r="G803" s="19" t="b">
        <f t="shared" si="12"/>
        <v>0</v>
      </c>
      <c r="H803" s="19" t="b">
        <f>AND(J803&lt;&gt;"", T803&gt;75)</f>
        <v>1</v>
      </c>
      <c r="I803" s="6">
        <v>341260</v>
      </c>
      <c r="J803" s="11" t="s">
        <v>2132</v>
      </c>
      <c r="K803" s="6" t="s">
        <v>1817</v>
      </c>
      <c r="L803" s="13">
        <v>702316501416</v>
      </c>
      <c r="M803" s="6">
        <v>31161800</v>
      </c>
      <c r="N803" s="6" t="s">
        <v>2131</v>
      </c>
      <c r="O803" s="6">
        <v>265821</v>
      </c>
      <c r="P803" s="6" t="s">
        <v>2133</v>
      </c>
      <c r="Q803" s="6" t="s">
        <v>1817</v>
      </c>
      <c r="S803" s="8">
        <v>0.84581358061716705</v>
      </c>
      <c r="T803" s="8">
        <v>94.7906790308583</v>
      </c>
      <c r="U803" s="8">
        <v>58.7906790308583</v>
      </c>
      <c r="V803" s="8">
        <v>93.162716123433398</v>
      </c>
    </row>
    <row r="804" spans="1:22" x14ac:dyDescent="0.3">
      <c r="A804" s="5">
        <v>897855</v>
      </c>
      <c r="B804" s="5" t="s">
        <v>2158</v>
      </c>
      <c r="C804" s="5" t="s">
        <v>1813</v>
      </c>
      <c r="D804" s="5" t="s">
        <v>2159</v>
      </c>
      <c r="G804" s="19" t="b">
        <f t="shared" si="12"/>
        <v>1</v>
      </c>
      <c r="H804" s="19" t="b">
        <f>AND(J804&lt;&gt;"", T804&gt;75)</f>
        <v>0</v>
      </c>
      <c r="J804" s="6"/>
      <c r="Q804" s="6" t="s">
        <v>194</v>
      </c>
      <c r="R804" s="6" t="s">
        <v>190</v>
      </c>
      <c r="U804" s="7">
        <v>60</v>
      </c>
    </row>
    <row r="805" spans="1:22" x14ac:dyDescent="0.3">
      <c r="A805" s="5">
        <v>897856</v>
      </c>
      <c r="B805" s="5" t="s">
        <v>2160</v>
      </c>
      <c r="C805" s="5" t="s">
        <v>1813</v>
      </c>
      <c r="D805" s="5" t="s">
        <v>2161</v>
      </c>
      <c r="E805" s="5" t="s">
        <v>2162</v>
      </c>
      <c r="G805" s="19" t="b">
        <f t="shared" si="12"/>
        <v>1</v>
      </c>
      <c r="H805" s="19" t="b">
        <f>AND(J805&lt;&gt;"", T805&gt;75)</f>
        <v>0</v>
      </c>
      <c r="J805" s="6"/>
      <c r="Q805" s="6" t="s">
        <v>194</v>
      </c>
      <c r="R805" s="6" t="s">
        <v>190</v>
      </c>
      <c r="U805" s="7">
        <v>60</v>
      </c>
    </row>
    <row r="806" spans="1:22" x14ac:dyDescent="0.3">
      <c r="A806" s="5">
        <v>897857</v>
      </c>
      <c r="B806" s="5" t="s">
        <v>2163</v>
      </c>
      <c r="C806" s="5" t="s">
        <v>2124</v>
      </c>
      <c r="D806" s="5" t="s">
        <v>2164</v>
      </c>
      <c r="G806" s="19" t="b">
        <f t="shared" si="12"/>
        <v>0</v>
      </c>
      <c r="H806" s="19" t="b">
        <f>AND(J806&lt;&gt;"", T806&gt;75)</f>
        <v>0</v>
      </c>
      <c r="J806" s="6"/>
    </row>
    <row r="807" spans="1:22" x14ac:dyDescent="0.3">
      <c r="A807" s="5">
        <v>897858</v>
      </c>
      <c r="B807" s="5" t="s">
        <v>2165</v>
      </c>
      <c r="C807" s="5" t="s">
        <v>2124</v>
      </c>
      <c r="D807" s="5" t="s">
        <v>2164</v>
      </c>
      <c r="F807" s="16">
        <v>8040945229</v>
      </c>
      <c r="G807" s="19" t="b">
        <f t="shared" si="12"/>
        <v>0</v>
      </c>
      <c r="H807" s="19" t="b">
        <f>AND(J807&lt;&gt;"", T807&gt;75)</f>
        <v>0</v>
      </c>
      <c r="J807" s="6"/>
    </row>
    <row r="808" spans="1:22" x14ac:dyDescent="0.3">
      <c r="A808" s="5">
        <v>897859</v>
      </c>
      <c r="B808" s="5" t="s">
        <v>2166</v>
      </c>
      <c r="C808" s="5" t="s">
        <v>1813</v>
      </c>
      <c r="D808" s="5" t="s">
        <v>2167</v>
      </c>
      <c r="E808" s="5" t="s">
        <v>2168</v>
      </c>
      <c r="G808" s="19" t="b">
        <f t="shared" si="12"/>
        <v>1</v>
      </c>
      <c r="H808" s="19" t="b">
        <f>AND(J808&lt;&gt;"", T808&gt;75)</f>
        <v>0</v>
      </c>
      <c r="J808" s="6"/>
      <c r="Q808" s="6" t="s">
        <v>194</v>
      </c>
      <c r="R808" s="6" t="s">
        <v>190</v>
      </c>
      <c r="U808" s="7">
        <v>60</v>
      </c>
    </row>
    <row r="809" spans="1:22" x14ac:dyDescent="0.3">
      <c r="A809" s="5">
        <v>897860</v>
      </c>
      <c r="B809" s="5" t="s">
        <v>2158</v>
      </c>
      <c r="C809" s="5" t="s">
        <v>1813</v>
      </c>
      <c r="D809" s="5" t="s">
        <v>2159</v>
      </c>
      <c r="G809" s="19" t="b">
        <f t="shared" si="12"/>
        <v>1</v>
      </c>
      <c r="H809" s="19" t="b">
        <f>AND(J809&lt;&gt;"", T809&gt;75)</f>
        <v>0</v>
      </c>
      <c r="J809" s="6"/>
      <c r="Q809" s="6" t="s">
        <v>194</v>
      </c>
      <c r="R809" s="6" t="s">
        <v>190</v>
      </c>
      <c r="U809" s="7">
        <v>60</v>
      </c>
    </row>
    <row r="810" spans="1:22" hidden="1" x14ac:dyDescent="0.3">
      <c r="A810" s="5">
        <v>897861</v>
      </c>
      <c r="B810" s="5" t="s">
        <v>2169</v>
      </c>
      <c r="C810" s="5" t="s">
        <v>1813</v>
      </c>
      <c r="D810" s="5" t="s">
        <v>2170</v>
      </c>
      <c r="E810" s="5" t="s">
        <v>2171</v>
      </c>
      <c r="G810" s="19" t="b">
        <f t="shared" si="12"/>
        <v>0</v>
      </c>
      <c r="H810" s="19" t="b">
        <f>AND(J810&lt;&gt;"", T810&gt;75)</f>
        <v>1</v>
      </c>
      <c r="I810" s="6">
        <v>341259</v>
      </c>
      <c r="J810" s="11" t="s">
        <v>2172</v>
      </c>
      <c r="K810" s="6" t="s">
        <v>1817</v>
      </c>
      <c r="L810" s="13">
        <v>702316501256</v>
      </c>
      <c r="M810" s="6">
        <v>30102204</v>
      </c>
      <c r="N810" s="6" t="s">
        <v>2171</v>
      </c>
      <c r="O810" s="6">
        <v>265813</v>
      </c>
      <c r="P810" s="6" t="s">
        <v>2173</v>
      </c>
      <c r="Q810" s="6" t="s">
        <v>1817</v>
      </c>
      <c r="S810" s="8">
        <v>0.98053097374209197</v>
      </c>
      <c r="T810" s="8">
        <v>91.526548687104594</v>
      </c>
      <c r="U810" s="8">
        <v>59.526548687104601</v>
      </c>
      <c r="V810" s="7">
        <v>100</v>
      </c>
    </row>
    <row r="811" spans="1:22" x14ac:dyDescent="0.3">
      <c r="A811" s="5">
        <v>897862</v>
      </c>
      <c r="B811" s="5" t="s">
        <v>2174</v>
      </c>
      <c r="C811" s="5" t="s">
        <v>1813</v>
      </c>
      <c r="D811" s="5" t="s">
        <v>2175</v>
      </c>
      <c r="E811" s="5" t="s">
        <v>2176</v>
      </c>
      <c r="G811" s="19" t="b">
        <f t="shared" si="12"/>
        <v>1</v>
      </c>
      <c r="H811" s="19" t="b">
        <f>AND(J811&lt;&gt;"", T811&gt;75)</f>
        <v>0</v>
      </c>
      <c r="J811" s="6"/>
      <c r="Q811" s="6" t="s">
        <v>194</v>
      </c>
      <c r="R811" s="6" t="s">
        <v>190</v>
      </c>
      <c r="U811" s="7">
        <v>60</v>
      </c>
    </row>
    <row r="812" spans="1:22" hidden="1" x14ac:dyDescent="0.3">
      <c r="A812" s="5">
        <v>897863</v>
      </c>
      <c r="B812" s="5" t="s">
        <v>2177</v>
      </c>
      <c r="C812" s="5" t="s">
        <v>2139</v>
      </c>
      <c r="D812" s="5" t="s">
        <v>2178</v>
      </c>
      <c r="G812" s="19" t="b">
        <f t="shared" si="12"/>
        <v>0</v>
      </c>
      <c r="H812" s="19" t="b">
        <f>AND(J812&lt;&gt;"", T812&gt;75)</f>
        <v>1</v>
      </c>
      <c r="I812" s="6">
        <v>270508</v>
      </c>
      <c r="J812" s="11" t="s">
        <v>2178</v>
      </c>
      <c r="K812" s="6" t="s">
        <v>326</v>
      </c>
      <c r="L812" s="13">
        <v>785592123992</v>
      </c>
      <c r="M812" s="6">
        <v>31162900</v>
      </c>
      <c r="O812" s="6">
        <v>143115</v>
      </c>
      <c r="P812" s="6" t="s">
        <v>2179</v>
      </c>
      <c r="Q812" s="6" t="s">
        <v>326</v>
      </c>
      <c r="S812" s="8">
        <v>0.80206101790445095</v>
      </c>
      <c r="T812" s="8">
        <v>87.603050895222495</v>
      </c>
      <c r="U812" s="8">
        <v>87.603050895222495</v>
      </c>
      <c r="V812" s="8">
        <v>85.412203580890306</v>
      </c>
    </row>
    <row r="813" spans="1:22" hidden="1" x14ac:dyDescent="0.3">
      <c r="A813" s="5">
        <v>897864</v>
      </c>
      <c r="B813" s="5" t="s">
        <v>2180</v>
      </c>
      <c r="C813" s="5" t="s">
        <v>2139</v>
      </c>
      <c r="D813" s="5" t="s">
        <v>2181</v>
      </c>
      <c r="G813" s="19" t="b">
        <f t="shared" si="12"/>
        <v>0</v>
      </c>
      <c r="H813" s="19" t="b">
        <f>AND(J813&lt;&gt;"", T813&gt;75)</f>
        <v>1</v>
      </c>
      <c r="I813" s="6">
        <v>268968</v>
      </c>
      <c r="J813" s="11" t="s">
        <v>2181</v>
      </c>
      <c r="K813" s="6" t="s">
        <v>326</v>
      </c>
      <c r="L813" s="13">
        <v>785592124005</v>
      </c>
      <c r="M813" s="6">
        <v>31162900</v>
      </c>
      <c r="O813" s="6">
        <v>143116</v>
      </c>
      <c r="P813" s="6" t="s">
        <v>2182</v>
      </c>
      <c r="Q813" s="6" t="s">
        <v>326</v>
      </c>
      <c r="S813" s="8">
        <v>0.80211227855844802</v>
      </c>
      <c r="T813" s="8">
        <v>87.605613927922406</v>
      </c>
      <c r="U813" s="8">
        <v>87.605613927922406</v>
      </c>
      <c r="V813" s="8">
        <v>85.422455711689693</v>
      </c>
    </row>
    <row r="814" spans="1:22" x14ac:dyDescent="0.3">
      <c r="A814" s="5">
        <v>897865</v>
      </c>
      <c r="B814" s="5" t="s">
        <v>2183</v>
      </c>
      <c r="C814" s="5" t="s">
        <v>1799</v>
      </c>
      <c r="D814" s="5">
        <v>953</v>
      </c>
      <c r="E814" s="5" t="s">
        <v>2184</v>
      </c>
      <c r="G814" s="19" t="b">
        <f t="shared" si="12"/>
        <v>0</v>
      </c>
      <c r="H814" s="19" t="b">
        <f>AND(J814&lt;&gt;"", T814&gt;75)</f>
        <v>0</v>
      </c>
      <c r="J814" s="6"/>
    </row>
    <row r="815" spans="1:22" x14ac:dyDescent="0.3">
      <c r="A815" s="5">
        <v>897866</v>
      </c>
      <c r="B815" s="5" t="s">
        <v>2185</v>
      </c>
      <c r="C815" s="5" t="s">
        <v>1799</v>
      </c>
      <c r="D815" s="5">
        <v>954</v>
      </c>
      <c r="E815" s="5" t="s">
        <v>2186</v>
      </c>
      <c r="G815" s="19" t="b">
        <f t="shared" si="12"/>
        <v>0</v>
      </c>
      <c r="H815" s="19" t="b">
        <f>AND(J815&lt;&gt;"", T815&gt;75)</f>
        <v>0</v>
      </c>
      <c r="J815" s="6"/>
    </row>
    <row r="816" spans="1:22" x14ac:dyDescent="0.3">
      <c r="A816" s="5">
        <v>897867</v>
      </c>
      <c r="B816" s="5" t="s">
        <v>2187</v>
      </c>
      <c r="C816" s="5" t="s">
        <v>2107</v>
      </c>
      <c r="G816" s="19" t="b">
        <f t="shared" si="12"/>
        <v>0</v>
      </c>
      <c r="H816" s="19" t="b">
        <f>AND(J816&lt;&gt;"", T816&gt;75)</f>
        <v>0</v>
      </c>
      <c r="J816" s="6"/>
    </row>
    <row r="817" spans="1:21" x14ac:dyDescent="0.3">
      <c r="A817" s="5">
        <v>897868</v>
      </c>
      <c r="B817" s="5" t="s">
        <v>2188</v>
      </c>
      <c r="C817" s="5" t="s">
        <v>2107</v>
      </c>
      <c r="D817" s="5" t="s">
        <v>2189</v>
      </c>
      <c r="G817" s="19" t="b">
        <f t="shared" si="12"/>
        <v>0</v>
      </c>
      <c r="H817" s="19" t="b">
        <f>AND(J817&lt;&gt;"", T817&gt;75)</f>
        <v>0</v>
      </c>
      <c r="J817" s="6"/>
    </row>
    <row r="818" spans="1:21" x14ac:dyDescent="0.3">
      <c r="A818" s="5">
        <v>897869</v>
      </c>
      <c r="B818" s="5" t="s">
        <v>2190</v>
      </c>
      <c r="C818" s="5" t="s">
        <v>2107</v>
      </c>
      <c r="G818" s="19" t="b">
        <f t="shared" si="12"/>
        <v>0</v>
      </c>
      <c r="H818" s="19" t="b">
        <f>AND(J818&lt;&gt;"", T818&gt;75)</f>
        <v>0</v>
      </c>
      <c r="J818" s="6"/>
    </row>
    <row r="819" spans="1:21" x14ac:dyDescent="0.3">
      <c r="A819" s="5">
        <v>897870</v>
      </c>
      <c r="B819" s="5" t="s">
        <v>2191</v>
      </c>
      <c r="C819" s="5" t="s">
        <v>2107</v>
      </c>
      <c r="G819" s="19" t="b">
        <f t="shared" si="12"/>
        <v>0</v>
      </c>
      <c r="H819" s="19" t="b">
        <f>AND(J819&lt;&gt;"", T819&gt;75)</f>
        <v>0</v>
      </c>
      <c r="J819" s="6"/>
    </row>
    <row r="820" spans="1:21" x14ac:dyDescent="0.3">
      <c r="A820" s="5">
        <v>897871</v>
      </c>
      <c r="B820" s="5" t="s">
        <v>2192</v>
      </c>
      <c r="C820" s="5" t="s">
        <v>2109</v>
      </c>
      <c r="G820" s="19" t="b">
        <f t="shared" si="12"/>
        <v>0</v>
      </c>
      <c r="H820" s="19" t="b">
        <f>AND(J820&lt;&gt;"", T820&gt;75)</f>
        <v>0</v>
      </c>
      <c r="J820" s="6"/>
    </row>
    <row r="821" spans="1:21" x14ac:dyDescent="0.3">
      <c r="A821" s="5">
        <v>897872</v>
      </c>
      <c r="B821" s="5" t="s">
        <v>2106</v>
      </c>
      <c r="C821" s="5" t="s">
        <v>2107</v>
      </c>
      <c r="G821" s="19" t="b">
        <f t="shared" si="12"/>
        <v>0</v>
      </c>
      <c r="H821" s="19" t="b">
        <f>AND(J821&lt;&gt;"", T821&gt;75)</f>
        <v>0</v>
      </c>
      <c r="J821" s="6"/>
    </row>
    <row r="822" spans="1:21" x14ac:dyDescent="0.3">
      <c r="A822" s="5">
        <v>897873</v>
      </c>
      <c r="B822" s="5" t="s">
        <v>2121</v>
      </c>
      <c r="C822" s="5" t="s">
        <v>2107</v>
      </c>
      <c r="G822" s="19" t="b">
        <f t="shared" si="12"/>
        <v>0</v>
      </c>
      <c r="H822" s="19" t="b">
        <f>AND(J822&lt;&gt;"", T822&gt;75)</f>
        <v>0</v>
      </c>
      <c r="J822" s="6"/>
    </row>
    <row r="823" spans="1:21" x14ac:dyDescent="0.3">
      <c r="A823" s="5">
        <v>897874</v>
      </c>
      <c r="B823" s="5" t="s">
        <v>2193</v>
      </c>
      <c r="C823" s="5" t="s">
        <v>1813</v>
      </c>
      <c r="D823" s="5" t="s">
        <v>2194</v>
      </c>
      <c r="E823" s="5" t="s">
        <v>2195</v>
      </c>
      <c r="G823" s="19" t="b">
        <f t="shared" si="12"/>
        <v>1</v>
      </c>
      <c r="H823" s="19" t="b">
        <f>AND(J823&lt;&gt;"", T823&gt;75)</f>
        <v>0</v>
      </c>
      <c r="J823" s="6"/>
      <c r="Q823" s="6" t="s">
        <v>194</v>
      </c>
      <c r="R823" s="6" t="s">
        <v>190</v>
      </c>
      <c r="U823" s="7">
        <v>60</v>
      </c>
    </row>
    <row r="824" spans="1:21" x14ac:dyDescent="0.3">
      <c r="A824" s="5">
        <v>897875</v>
      </c>
      <c r="B824" s="5" t="s">
        <v>2196</v>
      </c>
      <c r="C824" s="5" t="s">
        <v>1813</v>
      </c>
      <c r="D824" s="5" t="s">
        <v>2197</v>
      </c>
      <c r="E824" s="5" t="s">
        <v>2198</v>
      </c>
      <c r="G824" s="19" t="b">
        <f t="shared" si="12"/>
        <v>1</v>
      </c>
      <c r="H824" s="19" t="b">
        <f>AND(J824&lt;&gt;"", T824&gt;75)</f>
        <v>0</v>
      </c>
      <c r="J824" s="6"/>
      <c r="Q824" s="6" t="s">
        <v>39</v>
      </c>
      <c r="R824" s="6" t="s">
        <v>36</v>
      </c>
      <c r="U824" s="7">
        <v>50</v>
      </c>
    </row>
    <row r="825" spans="1:21" x14ac:dyDescent="0.3">
      <c r="A825" s="5">
        <v>897876</v>
      </c>
      <c r="B825" s="5" t="s">
        <v>2199</v>
      </c>
      <c r="C825" s="5" t="s">
        <v>1813</v>
      </c>
      <c r="D825" s="5" t="s">
        <v>2200</v>
      </c>
      <c r="E825" s="5" t="s">
        <v>2201</v>
      </c>
      <c r="G825" s="19" t="b">
        <f t="shared" si="12"/>
        <v>1</v>
      </c>
      <c r="H825" s="19" t="b">
        <f>AND(J825&lt;&gt;"", T825&gt;75)</f>
        <v>0</v>
      </c>
      <c r="J825" s="6"/>
      <c r="Q825" s="6" t="s">
        <v>194</v>
      </c>
      <c r="R825" s="6" t="s">
        <v>190</v>
      </c>
      <c r="U825" s="7">
        <v>60</v>
      </c>
    </row>
    <row r="826" spans="1:21" x14ac:dyDescent="0.3">
      <c r="A826" s="5">
        <v>897877</v>
      </c>
      <c r="B826" s="5" t="s">
        <v>2202</v>
      </c>
      <c r="C826" s="5" t="s">
        <v>1813</v>
      </c>
      <c r="D826" s="5" t="s">
        <v>2203</v>
      </c>
      <c r="E826" s="5" t="s">
        <v>2204</v>
      </c>
      <c r="G826" s="19" t="b">
        <f t="shared" si="12"/>
        <v>1</v>
      </c>
      <c r="H826" s="19" t="b">
        <f>AND(J826&lt;&gt;"", T826&gt;75)</f>
        <v>0</v>
      </c>
      <c r="J826" s="6"/>
      <c r="Q826" s="6" t="s">
        <v>39</v>
      </c>
      <c r="R826" s="6" t="s">
        <v>36</v>
      </c>
      <c r="U826" s="7">
        <v>50</v>
      </c>
    </row>
    <row r="827" spans="1:21" x14ac:dyDescent="0.3">
      <c r="A827" s="5">
        <v>897878</v>
      </c>
      <c r="B827" s="5" t="s">
        <v>1877</v>
      </c>
      <c r="C827" s="5" t="s">
        <v>1813</v>
      </c>
      <c r="D827" s="5" t="s">
        <v>1878</v>
      </c>
      <c r="E827" s="5" t="s">
        <v>1879</v>
      </c>
      <c r="G827" s="19" t="b">
        <f t="shared" si="12"/>
        <v>1</v>
      </c>
      <c r="H827" s="19" t="b">
        <f>AND(J827&lt;&gt;"", T827&gt;75)</f>
        <v>0</v>
      </c>
      <c r="J827" s="6"/>
      <c r="Q827" s="6" t="s">
        <v>194</v>
      </c>
      <c r="R827" s="6" t="s">
        <v>190</v>
      </c>
      <c r="U827" s="7">
        <v>60</v>
      </c>
    </row>
    <row r="828" spans="1:21" x14ac:dyDescent="0.3">
      <c r="A828" s="5">
        <v>897879</v>
      </c>
      <c r="B828" s="5" t="s">
        <v>2205</v>
      </c>
      <c r="C828" s="5" t="s">
        <v>2206</v>
      </c>
      <c r="D828" s="5" t="s">
        <v>2207</v>
      </c>
      <c r="G828" s="19" t="b">
        <f t="shared" si="12"/>
        <v>1</v>
      </c>
      <c r="H828" s="19" t="b">
        <f>AND(J828&lt;&gt;"", T828&gt;75)</f>
        <v>0</v>
      </c>
      <c r="J828" s="6"/>
      <c r="Q828" s="6" t="s">
        <v>2206</v>
      </c>
      <c r="R828" s="6" t="s">
        <v>2206</v>
      </c>
      <c r="U828" s="7">
        <v>70</v>
      </c>
    </row>
    <row r="829" spans="1:21" x14ac:dyDescent="0.3">
      <c r="A829" s="5">
        <v>897880</v>
      </c>
      <c r="B829" s="5" t="s">
        <v>2208</v>
      </c>
      <c r="C829" s="5" t="s">
        <v>2109</v>
      </c>
      <c r="G829" s="19" t="b">
        <f t="shared" si="12"/>
        <v>0</v>
      </c>
      <c r="H829" s="19" t="b">
        <f>AND(J829&lt;&gt;"", T829&gt;75)</f>
        <v>0</v>
      </c>
      <c r="J829" s="6"/>
    </row>
    <row r="830" spans="1:21" x14ac:dyDescent="0.3">
      <c r="A830" s="5">
        <v>897881</v>
      </c>
      <c r="B830" s="5" t="s">
        <v>2209</v>
      </c>
      <c r="C830" s="5" t="s">
        <v>2109</v>
      </c>
      <c r="G830" s="19" t="b">
        <f t="shared" si="12"/>
        <v>0</v>
      </c>
      <c r="H830" s="19" t="b">
        <f>AND(J830&lt;&gt;"", T830&gt;75)</f>
        <v>0</v>
      </c>
      <c r="J830" s="6"/>
    </row>
    <row r="831" spans="1:21" x14ac:dyDescent="0.3">
      <c r="A831" s="5">
        <v>897882</v>
      </c>
      <c r="B831" s="5" t="s">
        <v>2210</v>
      </c>
      <c r="C831" s="5" t="s">
        <v>2109</v>
      </c>
      <c r="G831" s="19" t="b">
        <f t="shared" si="12"/>
        <v>0</v>
      </c>
      <c r="H831" s="19" t="b">
        <f>AND(J831&lt;&gt;"", T831&gt;75)</f>
        <v>0</v>
      </c>
      <c r="J831" s="6"/>
    </row>
    <row r="832" spans="1:21" x14ac:dyDescent="0.3">
      <c r="A832" s="5">
        <v>897883</v>
      </c>
      <c r="B832" s="5" t="s">
        <v>2211</v>
      </c>
      <c r="C832" s="5" t="s">
        <v>2109</v>
      </c>
      <c r="G832" s="19" t="b">
        <f t="shared" si="12"/>
        <v>0</v>
      </c>
      <c r="H832" s="19" t="b">
        <f>AND(J832&lt;&gt;"", T832&gt;75)</f>
        <v>0</v>
      </c>
      <c r="J832" s="6"/>
    </row>
    <row r="833" spans="1:22" x14ac:dyDescent="0.3">
      <c r="A833" s="5">
        <v>897884</v>
      </c>
      <c r="B833" s="5" t="s">
        <v>2212</v>
      </c>
      <c r="C833" s="5" t="s">
        <v>2109</v>
      </c>
      <c r="G833" s="19" t="b">
        <f t="shared" si="12"/>
        <v>0</v>
      </c>
      <c r="H833" s="19" t="b">
        <f>AND(J833&lt;&gt;"", T833&gt;75)</f>
        <v>0</v>
      </c>
      <c r="J833" s="6"/>
    </row>
    <row r="834" spans="1:22" x14ac:dyDescent="0.3">
      <c r="A834" s="5">
        <v>897885</v>
      </c>
      <c r="B834" s="5" t="s">
        <v>2213</v>
      </c>
      <c r="C834" s="5" t="s">
        <v>2109</v>
      </c>
      <c r="G834" s="19" t="b">
        <f t="shared" si="12"/>
        <v>0</v>
      </c>
      <c r="H834" s="19" t="b">
        <f>AND(J834&lt;&gt;"", T834&gt;75)</f>
        <v>0</v>
      </c>
      <c r="J834" s="6"/>
    </row>
    <row r="835" spans="1:22" x14ac:dyDescent="0.3">
      <c r="A835" s="5">
        <v>897886</v>
      </c>
      <c r="B835" s="5" t="s">
        <v>2138</v>
      </c>
      <c r="C835" s="5" t="s">
        <v>2139</v>
      </c>
      <c r="G835" s="19" t="b">
        <f t="shared" ref="G835:G898" si="13">(R835&lt;&gt;"")</f>
        <v>0</v>
      </c>
      <c r="H835" s="19" t="b">
        <f>AND(J835&lt;&gt;"", T835&gt;75)</f>
        <v>0</v>
      </c>
      <c r="J835" s="6"/>
    </row>
    <row r="836" spans="1:22" hidden="1" x14ac:dyDescent="0.3">
      <c r="A836" s="5">
        <v>897887</v>
      </c>
      <c r="B836" s="5" t="s">
        <v>2140</v>
      </c>
      <c r="C836" s="5" t="s">
        <v>1017</v>
      </c>
      <c r="D836" s="5" t="s">
        <v>2141</v>
      </c>
      <c r="E836" s="5" t="s">
        <v>2142</v>
      </c>
      <c r="G836" s="19" t="b">
        <f t="shared" si="13"/>
        <v>0</v>
      </c>
      <c r="H836" s="19" t="b">
        <f>AND(J836&lt;&gt;"", T836&gt;75)</f>
        <v>1</v>
      </c>
      <c r="I836" s="6">
        <v>337244</v>
      </c>
      <c r="J836" s="11" t="s">
        <v>2141</v>
      </c>
      <c r="K836" s="6" t="s">
        <v>112</v>
      </c>
      <c r="L836" s="13">
        <v>781011403737</v>
      </c>
      <c r="M836" s="6">
        <v>31161708</v>
      </c>
      <c r="N836" s="6" t="s">
        <v>2142</v>
      </c>
      <c r="O836" s="6">
        <v>253355</v>
      </c>
      <c r="P836" s="6" t="s">
        <v>2143</v>
      </c>
      <c r="Q836" s="6" t="s">
        <v>42</v>
      </c>
      <c r="S836" s="8">
        <v>0.96505571213670904</v>
      </c>
      <c r="T836" s="8">
        <v>90.752785606835403</v>
      </c>
      <c r="U836" s="8">
        <v>92.752785606835403</v>
      </c>
      <c r="V836" s="7">
        <v>100</v>
      </c>
    </row>
    <row r="837" spans="1:22" x14ac:dyDescent="0.3">
      <c r="A837" s="5">
        <v>897888</v>
      </c>
      <c r="B837" s="5" t="s">
        <v>2214</v>
      </c>
      <c r="C837" s="5" t="s">
        <v>2109</v>
      </c>
      <c r="G837" s="19" t="b">
        <f t="shared" si="13"/>
        <v>0</v>
      </c>
      <c r="H837" s="19" t="b">
        <f>AND(J837&lt;&gt;"", T837&gt;75)</f>
        <v>0</v>
      </c>
      <c r="J837" s="6"/>
    </row>
    <row r="838" spans="1:22" hidden="1" x14ac:dyDescent="0.3">
      <c r="A838" s="5">
        <v>897889</v>
      </c>
      <c r="B838" s="5" t="s">
        <v>2215</v>
      </c>
      <c r="C838" s="5" t="s">
        <v>2139</v>
      </c>
      <c r="D838" s="5" t="s">
        <v>2216</v>
      </c>
      <c r="G838" s="19" t="b">
        <f t="shared" si="13"/>
        <v>0</v>
      </c>
      <c r="H838" s="19" t="b">
        <f>AND(J838&lt;&gt;"", T838&gt;75)</f>
        <v>1</v>
      </c>
      <c r="I838" s="6">
        <v>322176</v>
      </c>
      <c r="J838" s="11" t="s">
        <v>2216</v>
      </c>
      <c r="K838" s="6" t="s">
        <v>326</v>
      </c>
      <c r="L838" s="13">
        <v>751338041714</v>
      </c>
      <c r="M838" s="6">
        <v>31162905</v>
      </c>
      <c r="O838" s="6">
        <v>219555</v>
      </c>
      <c r="P838" s="6" t="s">
        <v>2217</v>
      </c>
      <c r="Q838" s="6" t="s">
        <v>326</v>
      </c>
      <c r="S838" s="8">
        <v>0.832830634344911</v>
      </c>
      <c r="T838" s="7">
        <v>100</v>
      </c>
      <c r="U838" s="8">
        <v>98.141531717245499</v>
      </c>
      <c r="V838" s="7">
        <v>100</v>
      </c>
    </row>
    <row r="839" spans="1:22" x14ac:dyDescent="0.3">
      <c r="A839" s="5">
        <v>897890</v>
      </c>
      <c r="B839" s="5" t="s">
        <v>2137</v>
      </c>
      <c r="C839" s="5" t="s">
        <v>2107</v>
      </c>
      <c r="G839" s="19" t="b">
        <f t="shared" si="13"/>
        <v>0</v>
      </c>
      <c r="H839" s="19" t="b">
        <f>AND(J839&lt;&gt;"", T839&gt;75)</f>
        <v>0</v>
      </c>
      <c r="J839" s="6"/>
    </row>
    <row r="840" spans="1:22" x14ac:dyDescent="0.3">
      <c r="A840" s="5">
        <v>897891</v>
      </c>
      <c r="B840" s="5" t="s">
        <v>2218</v>
      </c>
      <c r="C840" s="5" t="s">
        <v>1557</v>
      </c>
      <c r="D840" s="5" t="s">
        <v>2219</v>
      </c>
      <c r="E840" s="5" t="s">
        <v>2220</v>
      </c>
      <c r="G840" s="19" t="b">
        <f t="shared" si="13"/>
        <v>1</v>
      </c>
      <c r="H840" s="19" t="b">
        <f>AND(J840&lt;&gt;"", T840&gt;75)</f>
        <v>0</v>
      </c>
      <c r="J840" s="6"/>
      <c r="Q840" s="6" t="s">
        <v>39</v>
      </c>
      <c r="R840" s="6" t="s">
        <v>126</v>
      </c>
      <c r="U840" s="7">
        <v>60</v>
      </c>
    </row>
    <row r="841" spans="1:22" x14ac:dyDescent="0.3">
      <c r="A841" s="5">
        <v>897892</v>
      </c>
      <c r="B841" s="5" t="s">
        <v>2111</v>
      </c>
      <c r="C841" s="5" t="s">
        <v>2107</v>
      </c>
      <c r="G841" s="19" t="b">
        <f t="shared" si="13"/>
        <v>0</v>
      </c>
      <c r="H841" s="19" t="b">
        <f>AND(J841&lt;&gt;"", T841&gt;75)</f>
        <v>0</v>
      </c>
      <c r="J841" s="6"/>
    </row>
    <row r="842" spans="1:22" x14ac:dyDescent="0.3">
      <c r="A842" s="5">
        <v>897893</v>
      </c>
      <c r="B842" s="5" t="s">
        <v>2110</v>
      </c>
      <c r="C842" s="5" t="s">
        <v>2107</v>
      </c>
      <c r="G842" s="19" t="b">
        <f t="shared" si="13"/>
        <v>0</v>
      </c>
      <c r="H842" s="19" t="b">
        <f>AND(J842&lt;&gt;"", T842&gt;75)</f>
        <v>0</v>
      </c>
      <c r="J842" s="6"/>
    </row>
    <row r="843" spans="1:22" x14ac:dyDescent="0.3">
      <c r="A843" s="5">
        <v>897894</v>
      </c>
      <c r="B843" s="5" t="s">
        <v>2221</v>
      </c>
      <c r="C843" s="5" t="s">
        <v>2107</v>
      </c>
      <c r="G843" s="19" t="b">
        <f t="shared" si="13"/>
        <v>0</v>
      </c>
      <c r="H843" s="19" t="b">
        <f>AND(J843&lt;&gt;"", T843&gt;75)</f>
        <v>0</v>
      </c>
      <c r="J843" s="6"/>
    </row>
    <row r="844" spans="1:22" x14ac:dyDescent="0.3">
      <c r="A844" s="5">
        <v>897895</v>
      </c>
      <c r="B844" s="5" t="s">
        <v>2222</v>
      </c>
      <c r="C844" s="5" t="s">
        <v>1813</v>
      </c>
      <c r="D844" s="5" t="s">
        <v>2223</v>
      </c>
      <c r="E844" s="5" t="s">
        <v>2224</v>
      </c>
      <c r="G844" s="19" t="b">
        <f t="shared" si="13"/>
        <v>1</v>
      </c>
      <c r="H844" s="19" t="b">
        <f>AND(J844&lt;&gt;"", T844&gt;75)</f>
        <v>0</v>
      </c>
      <c r="J844" s="6"/>
      <c r="Q844" s="6" t="s">
        <v>194</v>
      </c>
      <c r="R844" s="6" t="s">
        <v>190</v>
      </c>
      <c r="U844" s="7">
        <v>60</v>
      </c>
    </row>
    <row r="845" spans="1:22" hidden="1" x14ac:dyDescent="0.3">
      <c r="A845" s="5">
        <v>897896</v>
      </c>
      <c r="B845" s="5" t="s">
        <v>2149</v>
      </c>
      <c r="C845" s="5" t="s">
        <v>2139</v>
      </c>
      <c r="D845" s="5" t="s">
        <v>2150</v>
      </c>
      <c r="G845" s="19" t="b">
        <f t="shared" si="13"/>
        <v>0</v>
      </c>
      <c r="H845" s="19" t="b">
        <f>AND(J845&lt;&gt;"", T845&gt;75)</f>
        <v>1</v>
      </c>
      <c r="I845" s="6">
        <v>320596</v>
      </c>
      <c r="J845" s="11" t="s">
        <v>2150</v>
      </c>
      <c r="K845" s="6" t="s">
        <v>326</v>
      </c>
      <c r="L845" s="13">
        <v>751338041790</v>
      </c>
      <c r="M845" s="6">
        <v>31161700</v>
      </c>
      <c r="O845" s="6">
        <v>23224</v>
      </c>
      <c r="P845" s="6" t="s">
        <v>2151</v>
      </c>
      <c r="Q845" s="6" t="s">
        <v>326</v>
      </c>
      <c r="S845" s="8">
        <v>0.79152377163103804</v>
      </c>
      <c r="T845" s="8">
        <v>87.076188581551904</v>
      </c>
      <c r="U845" s="8">
        <v>87.076188581551904</v>
      </c>
      <c r="V845" s="8">
        <v>83.3047543262077</v>
      </c>
    </row>
    <row r="846" spans="1:22" x14ac:dyDescent="0.3">
      <c r="A846" s="5">
        <v>897897</v>
      </c>
      <c r="B846" s="5" t="s">
        <v>2225</v>
      </c>
      <c r="C846" s="5" t="s">
        <v>2107</v>
      </c>
      <c r="D846" s="5">
        <v>27021</v>
      </c>
      <c r="G846" s="19" t="b">
        <f t="shared" si="13"/>
        <v>1</v>
      </c>
      <c r="H846" s="19" t="b">
        <f>AND(J846&lt;&gt;"", T846&gt;75)</f>
        <v>0</v>
      </c>
      <c r="J846" s="6"/>
      <c r="Q846" s="6" t="s">
        <v>2226</v>
      </c>
      <c r="R846" s="6" t="s">
        <v>2226</v>
      </c>
      <c r="U846" s="7">
        <v>95</v>
      </c>
    </row>
    <row r="847" spans="1:22" x14ac:dyDescent="0.3">
      <c r="A847" s="5">
        <v>897898</v>
      </c>
      <c r="B847" s="5" t="s">
        <v>2126</v>
      </c>
      <c r="C847" s="5" t="s">
        <v>2107</v>
      </c>
      <c r="G847" s="19" t="b">
        <f t="shared" si="13"/>
        <v>0</v>
      </c>
      <c r="H847" s="19" t="b">
        <f>AND(J847&lt;&gt;"", T847&gt;75)</f>
        <v>0</v>
      </c>
      <c r="J847" s="6"/>
    </row>
    <row r="848" spans="1:22" hidden="1" x14ac:dyDescent="0.3">
      <c r="A848" s="5">
        <v>897899</v>
      </c>
      <c r="B848" s="5" t="s">
        <v>2129</v>
      </c>
      <c r="C848" s="5" t="s">
        <v>1813</v>
      </c>
      <c r="D848" s="5" t="s">
        <v>2130</v>
      </c>
      <c r="E848" s="5" t="s">
        <v>2131</v>
      </c>
      <c r="G848" s="19" t="b">
        <f t="shared" si="13"/>
        <v>0</v>
      </c>
      <c r="H848" s="19" t="b">
        <f>AND(J848&lt;&gt;"", T848&gt;75)</f>
        <v>1</v>
      </c>
      <c r="I848" s="6">
        <v>341260</v>
      </c>
      <c r="J848" s="11" t="s">
        <v>2132</v>
      </c>
      <c r="K848" s="6" t="s">
        <v>1817</v>
      </c>
      <c r="L848" s="13">
        <v>702316501416</v>
      </c>
      <c r="M848" s="6">
        <v>31161800</v>
      </c>
      <c r="N848" s="6" t="s">
        <v>2131</v>
      </c>
      <c r="O848" s="6">
        <v>265821</v>
      </c>
      <c r="P848" s="6" t="s">
        <v>2133</v>
      </c>
      <c r="Q848" s="6" t="s">
        <v>1817</v>
      </c>
      <c r="S848" s="8">
        <v>0.84581358061716705</v>
      </c>
      <c r="T848" s="8">
        <v>94.7906790308583</v>
      </c>
      <c r="U848" s="8">
        <v>58.7906790308583</v>
      </c>
      <c r="V848" s="8">
        <v>93.162716123433398</v>
      </c>
    </row>
    <row r="849" spans="1:22" x14ac:dyDescent="0.3">
      <c r="A849" s="5">
        <v>897900</v>
      </c>
      <c r="B849" s="5" t="s">
        <v>2163</v>
      </c>
      <c r="C849" s="5" t="s">
        <v>2124</v>
      </c>
      <c r="D849" s="5" t="s">
        <v>2164</v>
      </c>
      <c r="G849" s="19" t="b">
        <f t="shared" si="13"/>
        <v>0</v>
      </c>
      <c r="H849" s="19" t="b">
        <f>AND(J849&lt;&gt;"", T849&gt;75)</f>
        <v>0</v>
      </c>
      <c r="J849" s="6"/>
    </row>
    <row r="850" spans="1:22" x14ac:dyDescent="0.3">
      <c r="A850" s="5">
        <v>897901</v>
      </c>
      <c r="B850" s="5" t="s">
        <v>2227</v>
      </c>
      <c r="C850" s="5" t="s">
        <v>2107</v>
      </c>
      <c r="G850" s="19" t="b">
        <f t="shared" si="13"/>
        <v>0</v>
      </c>
      <c r="H850" s="19" t="b">
        <f>AND(J850&lt;&gt;"", T850&gt;75)</f>
        <v>0</v>
      </c>
      <c r="J850" s="6"/>
    </row>
    <row r="851" spans="1:22" x14ac:dyDescent="0.3">
      <c r="A851" s="5">
        <v>897902</v>
      </c>
      <c r="B851" s="5" t="s">
        <v>2228</v>
      </c>
      <c r="C851" s="5" t="s">
        <v>2229</v>
      </c>
      <c r="D851" s="5" t="s">
        <v>2230</v>
      </c>
      <c r="G851" s="19" t="b">
        <f t="shared" si="13"/>
        <v>1</v>
      </c>
      <c r="H851" s="19" t="b">
        <f>AND(J851&lt;&gt;"", T851&gt;75)</f>
        <v>0</v>
      </c>
      <c r="J851" s="6"/>
      <c r="Q851" s="6" t="s">
        <v>1286</v>
      </c>
      <c r="R851" s="6" t="s">
        <v>1287</v>
      </c>
      <c r="U851" s="7">
        <v>100</v>
      </c>
    </row>
    <row r="852" spans="1:22" x14ac:dyDescent="0.3">
      <c r="A852" s="5">
        <v>897903</v>
      </c>
      <c r="B852" s="5" t="s">
        <v>2166</v>
      </c>
      <c r="C852" s="5" t="s">
        <v>1813</v>
      </c>
      <c r="D852" s="5" t="s">
        <v>2167</v>
      </c>
      <c r="E852" s="5" t="s">
        <v>2168</v>
      </c>
      <c r="G852" s="19" t="b">
        <f t="shared" si="13"/>
        <v>1</v>
      </c>
      <c r="H852" s="19" t="b">
        <f>AND(J852&lt;&gt;"", T852&gt;75)</f>
        <v>0</v>
      </c>
      <c r="J852" s="6"/>
      <c r="Q852" s="6" t="s">
        <v>194</v>
      </c>
      <c r="R852" s="6" t="s">
        <v>190</v>
      </c>
      <c r="U852" s="7">
        <v>60</v>
      </c>
    </row>
    <row r="853" spans="1:22" x14ac:dyDescent="0.3">
      <c r="A853" s="5">
        <v>897904</v>
      </c>
      <c r="B853" s="5" t="s">
        <v>1092</v>
      </c>
      <c r="G853" s="19" t="b">
        <f t="shared" si="13"/>
        <v>0</v>
      </c>
      <c r="H853" s="19" t="b">
        <f>AND(J853&lt;&gt;"", T853&gt;75)</f>
        <v>0</v>
      </c>
      <c r="J853" s="6"/>
    </row>
    <row r="854" spans="1:22" x14ac:dyDescent="0.3">
      <c r="A854" s="5">
        <v>897905</v>
      </c>
      <c r="B854" s="5" t="s">
        <v>2158</v>
      </c>
      <c r="C854" s="5" t="s">
        <v>1813</v>
      </c>
      <c r="D854" s="5" t="s">
        <v>2159</v>
      </c>
      <c r="G854" s="19" t="b">
        <f t="shared" si="13"/>
        <v>1</v>
      </c>
      <c r="H854" s="19" t="b">
        <f>AND(J854&lt;&gt;"", T854&gt;75)</f>
        <v>0</v>
      </c>
      <c r="J854" s="6"/>
      <c r="Q854" s="6" t="s">
        <v>194</v>
      </c>
      <c r="R854" s="6" t="s">
        <v>190</v>
      </c>
      <c r="U854" s="7">
        <v>60</v>
      </c>
    </row>
    <row r="855" spans="1:22" x14ac:dyDescent="0.3">
      <c r="A855" s="5">
        <v>897906</v>
      </c>
      <c r="B855" s="5" t="s">
        <v>2231</v>
      </c>
      <c r="C855" s="5" t="s">
        <v>1557</v>
      </c>
      <c r="D855" s="5" t="s">
        <v>2232</v>
      </c>
      <c r="E855" s="5" t="s">
        <v>2233</v>
      </c>
      <c r="G855" s="19" t="b">
        <f t="shared" si="13"/>
        <v>1</v>
      </c>
      <c r="H855" s="19" t="b">
        <f>AND(J855&lt;&gt;"", T855&gt;75)</f>
        <v>0</v>
      </c>
      <c r="J855" s="6"/>
      <c r="Q855" s="6" t="s">
        <v>39</v>
      </c>
      <c r="R855" s="6" t="s">
        <v>126</v>
      </c>
      <c r="U855" s="7">
        <v>60</v>
      </c>
    </row>
    <row r="856" spans="1:22" x14ac:dyDescent="0.3">
      <c r="A856" s="5">
        <v>897907</v>
      </c>
      <c r="B856" s="5" t="s">
        <v>2234</v>
      </c>
      <c r="C856" s="5" t="s">
        <v>1557</v>
      </c>
      <c r="D856" s="5" t="s">
        <v>2235</v>
      </c>
      <c r="E856" s="5" t="s">
        <v>2236</v>
      </c>
      <c r="G856" s="19" t="b">
        <f t="shared" si="13"/>
        <v>1</v>
      </c>
      <c r="H856" s="19" t="b">
        <f>AND(J856&lt;&gt;"", T856&gt;75)</f>
        <v>0</v>
      </c>
      <c r="J856" s="6"/>
      <c r="Q856" s="6" t="s">
        <v>39</v>
      </c>
      <c r="R856" s="6" t="s">
        <v>126</v>
      </c>
      <c r="U856" s="7">
        <v>60</v>
      </c>
    </row>
    <row r="857" spans="1:22" hidden="1" x14ac:dyDescent="0.3">
      <c r="A857" s="5">
        <v>897908</v>
      </c>
      <c r="B857" s="5" t="s">
        <v>2169</v>
      </c>
      <c r="C857" s="5" t="s">
        <v>1813</v>
      </c>
      <c r="D857" s="5" t="s">
        <v>2170</v>
      </c>
      <c r="E857" s="5" t="s">
        <v>2171</v>
      </c>
      <c r="G857" s="19" t="b">
        <f t="shared" si="13"/>
        <v>0</v>
      </c>
      <c r="H857" s="19" t="b">
        <f>AND(J857&lt;&gt;"", T857&gt;75)</f>
        <v>1</v>
      </c>
      <c r="I857" s="6">
        <v>341259</v>
      </c>
      <c r="J857" s="11" t="s">
        <v>2172</v>
      </c>
      <c r="K857" s="6" t="s">
        <v>1817</v>
      </c>
      <c r="L857" s="13">
        <v>702316501256</v>
      </c>
      <c r="M857" s="6">
        <v>30102204</v>
      </c>
      <c r="N857" s="6" t="s">
        <v>2171</v>
      </c>
      <c r="O857" s="6">
        <v>265813</v>
      </c>
      <c r="P857" s="6" t="s">
        <v>2173</v>
      </c>
      <c r="Q857" s="6" t="s">
        <v>1817</v>
      </c>
      <c r="S857" s="8">
        <v>0.98053097374209197</v>
      </c>
      <c r="T857" s="8">
        <v>91.526548687104594</v>
      </c>
      <c r="U857" s="8">
        <v>59.526548687104601</v>
      </c>
      <c r="V857" s="7">
        <v>100</v>
      </c>
    </row>
    <row r="858" spans="1:22" x14ac:dyDescent="0.3">
      <c r="A858" s="5">
        <v>897909</v>
      </c>
      <c r="B858" s="5" t="s">
        <v>2174</v>
      </c>
      <c r="C858" s="5" t="s">
        <v>1813</v>
      </c>
      <c r="D858" s="5" t="s">
        <v>2175</v>
      </c>
      <c r="E858" s="5" t="s">
        <v>2176</v>
      </c>
      <c r="G858" s="19" t="b">
        <f t="shared" si="13"/>
        <v>1</v>
      </c>
      <c r="H858" s="19" t="b">
        <f>AND(J858&lt;&gt;"", T858&gt;75)</f>
        <v>0</v>
      </c>
      <c r="J858" s="6"/>
      <c r="Q858" s="6" t="s">
        <v>194</v>
      </c>
      <c r="R858" s="6" t="s">
        <v>190</v>
      </c>
      <c r="U858" s="7">
        <v>60</v>
      </c>
    </row>
    <row r="859" spans="1:22" hidden="1" x14ac:dyDescent="0.3">
      <c r="A859" s="5">
        <v>897910</v>
      </c>
      <c r="B859" s="5" t="s">
        <v>2177</v>
      </c>
      <c r="C859" s="5" t="s">
        <v>2139</v>
      </c>
      <c r="D859" s="5" t="s">
        <v>2178</v>
      </c>
      <c r="G859" s="19" t="b">
        <f t="shared" si="13"/>
        <v>0</v>
      </c>
      <c r="H859" s="19" t="b">
        <f>AND(J859&lt;&gt;"", T859&gt;75)</f>
        <v>1</v>
      </c>
      <c r="I859" s="6">
        <v>270508</v>
      </c>
      <c r="J859" s="11" t="s">
        <v>2178</v>
      </c>
      <c r="K859" s="6" t="s">
        <v>326</v>
      </c>
      <c r="L859" s="13">
        <v>785592123992</v>
      </c>
      <c r="M859" s="6">
        <v>31162900</v>
      </c>
      <c r="O859" s="6">
        <v>143115</v>
      </c>
      <c r="P859" s="6" t="s">
        <v>2179</v>
      </c>
      <c r="Q859" s="6" t="s">
        <v>326</v>
      </c>
      <c r="S859" s="8">
        <v>0.80206101790445095</v>
      </c>
      <c r="T859" s="8">
        <v>87.603050895222495</v>
      </c>
      <c r="U859" s="8">
        <v>87.603050895222495</v>
      </c>
      <c r="V859" s="8">
        <v>85.412203580890306</v>
      </c>
    </row>
    <row r="860" spans="1:22" x14ac:dyDescent="0.3">
      <c r="A860" s="5">
        <v>897911</v>
      </c>
      <c r="B860" s="5" t="s">
        <v>2137</v>
      </c>
      <c r="C860" s="5" t="s">
        <v>2107</v>
      </c>
      <c r="G860" s="19" t="b">
        <f t="shared" si="13"/>
        <v>0</v>
      </c>
      <c r="H860" s="19" t="b">
        <f>AND(J860&lt;&gt;"", T860&gt;75)</f>
        <v>0</v>
      </c>
      <c r="J860" s="6"/>
    </row>
    <row r="861" spans="1:22" hidden="1" x14ac:dyDescent="0.3">
      <c r="A861" s="5">
        <v>897912</v>
      </c>
      <c r="B861" s="5" t="s">
        <v>2180</v>
      </c>
      <c r="C861" s="5" t="s">
        <v>2139</v>
      </c>
      <c r="D861" s="5" t="s">
        <v>2181</v>
      </c>
      <c r="G861" s="19" t="b">
        <f t="shared" si="13"/>
        <v>0</v>
      </c>
      <c r="H861" s="19" t="b">
        <f>AND(J861&lt;&gt;"", T861&gt;75)</f>
        <v>1</v>
      </c>
      <c r="I861" s="6">
        <v>268968</v>
      </c>
      <c r="J861" s="11" t="s">
        <v>2181</v>
      </c>
      <c r="K861" s="6" t="s">
        <v>326</v>
      </c>
      <c r="L861" s="13">
        <v>785592124005</v>
      </c>
      <c r="M861" s="6">
        <v>31162900</v>
      </c>
      <c r="O861" s="6">
        <v>143116</v>
      </c>
      <c r="P861" s="6" t="s">
        <v>2182</v>
      </c>
      <c r="Q861" s="6" t="s">
        <v>326</v>
      </c>
      <c r="S861" s="8">
        <v>0.80211227855844802</v>
      </c>
      <c r="T861" s="8">
        <v>87.605613927922406</v>
      </c>
      <c r="U861" s="8">
        <v>87.605613927922406</v>
      </c>
      <c r="V861" s="8">
        <v>85.422455711689693</v>
      </c>
    </row>
    <row r="862" spans="1:22" x14ac:dyDescent="0.3">
      <c r="A862" s="5">
        <v>897913</v>
      </c>
      <c r="B862" s="5" t="s">
        <v>2111</v>
      </c>
      <c r="C862" s="5" t="s">
        <v>2107</v>
      </c>
      <c r="G862" s="19" t="b">
        <f t="shared" si="13"/>
        <v>0</v>
      </c>
      <c r="H862" s="19" t="b">
        <f>AND(J862&lt;&gt;"", T862&gt;75)</f>
        <v>0</v>
      </c>
      <c r="J862" s="6"/>
    </row>
    <row r="863" spans="1:22" x14ac:dyDescent="0.3">
      <c r="A863" s="5">
        <v>897914</v>
      </c>
      <c r="B863" s="5" t="s">
        <v>2183</v>
      </c>
      <c r="C863" s="5" t="s">
        <v>1799</v>
      </c>
      <c r="D863" s="5">
        <v>953</v>
      </c>
      <c r="E863" s="5" t="s">
        <v>2184</v>
      </c>
      <c r="G863" s="19" t="b">
        <f t="shared" si="13"/>
        <v>0</v>
      </c>
      <c r="H863" s="19" t="b">
        <f>AND(J863&lt;&gt;"", T863&gt;75)</f>
        <v>0</v>
      </c>
      <c r="J863" s="6"/>
    </row>
    <row r="864" spans="1:22" x14ac:dyDescent="0.3">
      <c r="A864" s="5">
        <v>897915</v>
      </c>
      <c r="B864" s="5" t="s">
        <v>2110</v>
      </c>
      <c r="C864" s="5" t="s">
        <v>2107</v>
      </c>
      <c r="G864" s="19" t="b">
        <f t="shared" si="13"/>
        <v>0</v>
      </c>
      <c r="H864" s="19" t="b">
        <f>AND(J864&lt;&gt;"", T864&gt;75)</f>
        <v>0</v>
      </c>
      <c r="J864" s="6"/>
    </row>
    <row r="865" spans="1:22" x14ac:dyDescent="0.3">
      <c r="A865" s="5">
        <v>897916</v>
      </c>
      <c r="B865" s="5" t="s">
        <v>2185</v>
      </c>
      <c r="C865" s="5" t="s">
        <v>1799</v>
      </c>
      <c r="D865" s="5">
        <v>954</v>
      </c>
      <c r="E865" s="5" t="s">
        <v>2186</v>
      </c>
      <c r="G865" s="19" t="b">
        <f t="shared" si="13"/>
        <v>0</v>
      </c>
      <c r="H865" s="19" t="b">
        <f>AND(J865&lt;&gt;"", T865&gt;75)</f>
        <v>0</v>
      </c>
      <c r="J865" s="6"/>
    </row>
    <row r="866" spans="1:22" hidden="1" x14ac:dyDescent="0.3">
      <c r="A866" s="5">
        <v>897917</v>
      </c>
      <c r="B866" s="5" t="s">
        <v>2149</v>
      </c>
      <c r="C866" s="5" t="s">
        <v>2139</v>
      </c>
      <c r="D866" s="5" t="s">
        <v>2150</v>
      </c>
      <c r="G866" s="19" t="b">
        <f t="shared" si="13"/>
        <v>0</v>
      </c>
      <c r="H866" s="19" t="b">
        <f>AND(J866&lt;&gt;"", T866&gt;75)</f>
        <v>1</v>
      </c>
      <c r="I866" s="6">
        <v>320596</v>
      </c>
      <c r="J866" s="11" t="s">
        <v>2150</v>
      </c>
      <c r="K866" s="6" t="s">
        <v>326</v>
      </c>
      <c r="L866" s="13">
        <v>751338041790</v>
      </c>
      <c r="M866" s="6">
        <v>31161700</v>
      </c>
      <c r="O866" s="6">
        <v>23224</v>
      </c>
      <c r="P866" s="6" t="s">
        <v>2151</v>
      </c>
      <c r="Q866" s="6" t="s">
        <v>326</v>
      </c>
      <c r="S866" s="8">
        <v>0.79152377163103804</v>
      </c>
      <c r="T866" s="8">
        <v>87.076188581551904</v>
      </c>
      <c r="U866" s="8">
        <v>87.076188581551904</v>
      </c>
      <c r="V866" s="8">
        <v>83.3047543262077</v>
      </c>
    </row>
    <row r="867" spans="1:22" x14ac:dyDescent="0.3">
      <c r="A867" s="5">
        <v>897918</v>
      </c>
      <c r="B867" s="5" t="s">
        <v>2187</v>
      </c>
      <c r="C867" s="5" t="s">
        <v>2107</v>
      </c>
      <c r="G867" s="19" t="b">
        <f t="shared" si="13"/>
        <v>0</v>
      </c>
      <c r="H867" s="19" t="b">
        <f>AND(J867&lt;&gt;"", T867&gt;75)</f>
        <v>0</v>
      </c>
      <c r="J867" s="6"/>
    </row>
    <row r="868" spans="1:22" hidden="1" x14ac:dyDescent="0.3">
      <c r="A868" s="5">
        <v>897919</v>
      </c>
      <c r="B868" s="5" t="s">
        <v>2129</v>
      </c>
      <c r="C868" s="5" t="s">
        <v>1813</v>
      </c>
      <c r="D868" s="5" t="s">
        <v>2130</v>
      </c>
      <c r="E868" s="5" t="s">
        <v>2131</v>
      </c>
      <c r="G868" s="19" t="b">
        <f t="shared" si="13"/>
        <v>0</v>
      </c>
      <c r="H868" s="19" t="b">
        <f>AND(J868&lt;&gt;"", T868&gt;75)</f>
        <v>1</v>
      </c>
      <c r="I868" s="6">
        <v>341260</v>
      </c>
      <c r="J868" s="11" t="s">
        <v>2132</v>
      </c>
      <c r="K868" s="6" t="s">
        <v>1817</v>
      </c>
      <c r="L868" s="13">
        <v>702316501416</v>
      </c>
      <c r="M868" s="6">
        <v>31161800</v>
      </c>
      <c r="N868" s="6" t="s">
        <v>2131</v>
      </c>
      <c r="O868" s="6">
        <v>265821</v>
      </c>
      <c r="P868" s="6" t="s">
        <v>2133</v>
      </c>
      <c r="Q868" s="6" t="s">
        <v>1817</v>
      </c>
      <c r="S868" s="8">
        <v>0.84581358061716705</v>
      </c>
      <c r="T868" s="8">
        <v>94.7906790308583</v>
      </c>
      <c r="U868" s="8">
        <v>58.7906790308583</v>
      </c>
      <c r="V868" s="8">
        <v>93.162716123433398</v>
      </c>
    </row>
    <row r="869" spans="1:22" x14ac:dyDescent="0.3">
      <c r="A869" s="5">
        <v>897920</v>
      </c>
      <c r="B869" s="5" t="s">
        <v>2188</v>
      </c>
      <c r="C869" s="5" t="s">
        <v>2107</v>
      </c>
      <c r="D869" s="5" t="s">
        <v>2189</v>
      </c>
      <c r="G869" s="19" t="b">
        <f t="shared" si="13"/>
        <v>0</v>
      </c>
      <c r="H869" s="19" t="b">
        <f>AND(J869&lt;&gt;"", T869&gt;75)</f>
        <v>0</v>
      </c>
      <c r="J869" s="6"/>
    </row>
    <row r="870" spans="1:22" x14ac:dyDescent="0.3">
      <c r="A870" s="5">
        <v>897921</v>
      </c>
      <c r="B870" s="5" t="s">
        <v>2163</v>
      </c>
      <c r="C870" s="5" t="s">
        <v>2124</v>
      </c>
      <c r="D870" s="5" t="s">
        <v>2164</v>
      </c>
      <c r="G870" s="19" t="b">
        <f t="shared" si="13"/>
        <v>0</v>
      </c>
      <c r="H870" s="19" t="b">
        <f>AND(J870&lt;&gt;"", T870&gt;75)</f>
        <v>0</v>
      </c>
      <c r="J870" s="6"/>
    </row>
    <row r="871" spans="1:22" x14ac:dyDescent="0.3">
      <c r="A871" s="5">
        <v>897922</v>
      </c>
      <c r="B871" s="5" t="s">
        <v>2190</v>
      </c>
      <c r="C871" s="5" t="s">
        <v>2107</v>
      </c>
      <c r="G871" s="19" t="b">
        <f t="shared" si="13"/>
        <v>0</v>
      </c>
      <c r="H871" s="19" t="b">
        <f>AND(J871&lt;&gt;"", T871&gt;75)</f>
        <v>0</v>
      </c>
      <c r="J871" s="6"/>
    </row>
    <row r="872" spans="1:22" x14ac:dyDescent="0.3">
      <c r="A872" s="5">
        <v>897923</v>
      </c>
      <c r="B872" s="5" t="s">
        <v>2166</v>
      </c>
      <c r="C872" s="5" t="s">
        <v>1813</v>
      </c>
      <c r="D872" s="5" t="s">
        <v>2167</v>
      </c>
      <c r="E872" s="5" t="s">
        <v>2168</v>
      </c>
      <c r="G872" s="19" t="b">
        <f t="shared" si="13"/>
        <v>1</v>
      </c>
      <c r="H872" s="19" t="b">
        <f>AND(J872&lt;&gt;"", T872&gt;75)</f>
        <v>0</v>
      </c>
      <c r="J872" s="6"/>
      <c r="Q872" s="6" t="s">
        <v>194</v>
      </c>
      <c r="R872" s="6" t="s">
        <v>190</v>
      </c>
      <c r="U872" s="7">
        <v>60</v>
      </c>
    </row>
    <row r="873" spans="1:22" x14ac:dyDescent="0.3">
      <c r="A873" s="5">
        <v>897924</v>
      </c>
      <c r="B873" s="5" t="s">
        <v>2237</v>
      </c>
      <c r="C873" s="5" t="s">
        <v>2107</v>
      </c>
      <c r="G873" s="19" t="b">
        <f t="shared" si="13"/>
        <v>0</v>
      </c>
      <c r="H873" s="19" t="b">
        <f>AND(J873&lt;&gt;"", T873&gt;75)</f>
        <v>0</v>
      </c>
      <c r="J873" s="6"/>
    </row>
    <row r="874" spans="1:22" x14ac:dyDescent="0.3">
      <c r="A874" s="5">
        <v>897925</v>
      </c>
      <c r="B874" s="5" t="s">
        <v>2158</v>
      </c>
      <c r="C874" s="5" t="s">
        <v>1813</v>
      </c>
      <c r="D874" s="5" t="s">
        <v>2159</v>
      </c>
      <c r="G874" s="19" t="b">
        <f t="shared" si="13"/>
        <v>1</v>
      </c>
      <c r="H874" s="19" t="b">
        <f>AND(J874&lt;&gt;"", T874&gt;75)</f>
        <v>0</v>
      </c>
      <c r="J874" s="6"/>
      <c r="Q874" s="6" t="s">
        <v>194</v>
      </c>
      <c r="R874" s="6" t="s">
        <v>190</v>
      </c>
      <c r="U874" s="7">
        <v>60</v>
      </c>
    </row>
    <row r="875" spans="1:22" x14ac:dyDescent="0.3">
      <c r="A875" s="5">
        <v>897926</v>
      </c>
      <c r="B875" s="5" t="s">
        <v>2108</v>
      </c>
      <c r="C875" s="5" t="s">
        <v>2109</v>
      </c>
      <c r="G875" s="19" t="b">
        <f t="shared" si="13"/>
        <v>0</v>
      </c>
      <c r="H875" s="19" t="b">
        <f>AND(J875&lt;&gt;"", T875&gt;75)</f>
        <v>0</v>
      </c>
      <c r="J875" s="6"/>
    </row>
    <row r="876" spans="1:22" hidden="1" x14ac:dyDescent="0.3">
      <c r="A876" s="5">
        <v>897927</v>
      </c>
      <c r="B876" s="5" t="s">
        <v>2169</v>
      </c>
      <c r="C876" s="5" t="s">
        <v>1813</v>
      </c>
      <c r="D876" s="5" t="s">
        <v>2170</v>
      </c>
      <c r="E876" s="5" t="s">
        <v>2171</v>
      </c>
      <c r="G876" s="19" t="b">
        <f t="shared" si="13"/>
        <v>0</v>
      </c>
      <c r="H876" s="19" t="b">
        <f>AND(J876&lt;&gt;"", T876&gt;75)</f>
        <v>1</v>
      </c>
      <c r="I876" s="6">
        <v>341259</v>
      </c>
      <c r="J876" s="11" t="s">
        <v>2172</v>
      </c>
      <c r="K876" s="6" t="s">
        <v>1817</v>
      </c>
      <c r="L876" s="13">
        <v>702316501256</v>
      </c>
      <c r="M876" s="6">
        <v>30102204</v>
      </c>
      <c r="N876" s="6" t="s">
        <v>2171</v>
      </c>
      <c r="O876" s="6">
        <v>265813</v>
      </c>
      <c r="P876" s="6" t="s">
        <v>2173</v>
      </c>
      <c r="Q876" s="6" t="s">
        <v>1817</v>
      </c>
      <c r="S876" s="8">
        <v>0.98053097374209197</v>
      </c>
      <c r="T876" s="8">
        <v>91.526548687104594</v>
      </c>
      <c r="U876" s="8">
        <v>59.526548687104601</v>
      </c>
      <c r="V876" s="7">
        <v>100</v>
      </c>
    </row>
    <row r="877" spans="1:22" x14ac:dyDescent="0.3">
      <c r="A877" s="5">
        <v>897928</v>
      </c>
      <c r="B877" s="5" t="s">
        <v>2106</v>
      </c>
      <c r="C877" s="5" t="s">
        <v>2107</v>
      </c>
      <c r="G877" s="19" t="b">
        <f t="shared" si="13"/>
        <v>0</v>
      </c>
      <c r="H877" s="19" t="b">
        <f>AND(J877&lt;&gt;"", T877&gt;75)</f>
        <v>0</v>
      </c>
      <c r="J877" s="6"/>
    </row>
    <row r="878" spans="1:22" x14ac:dyDescent="0.3">
      <c r="A878" s="5">
        <v>897929</v>
      </c>
      <c r="B878" s="5" t="s">
        <v>2174</v>
      </c>
      <c r="C878" s="5" t="s">
        <v>1813</v>
      </c>
      <c r="D878" s="5" t="s">
        <v>2175</v>
      </c>
      <c r="E878" s="5" t="s">
        <v>2176</v>
      </c>
      <c r="G878" s="19" t="b">
        <f t="shared" si="13"/>
        <v>1</v>
      </c>
      <c r="H878" s="19" t="b">
        <f>AND(J878&lt;&gt;"", T878&gt;75)</f>
        <v>0</v>
      </c>
      <c r="J878" s="6"/>
      <c r="Q878" s="6" t="s">
        <v>194</v>
      </c>
      <c r="R878" s="6" t="s">
        <v>190</v>
      </c>
      <c r="U878" s="7">
        <v>60</v>
      </c>
    </row>
    <row r="879" spans="1:22" x14ac:dyDescent="0.3">
      <c r="A879" s="5">
        <v>897930</v>
      </c>
      <c r="B879" s="5" t="s">
        <v>2121</v>
      </c>
      <c r="C879" s="5" t="s">
        <v>2107</v>
      </c>
      <c r="G879" s="19" t="b">
        <f t="shared" si="13"/>
        <v>0</v>
      </c>
      <c r="H879" s="19" t="b">
        <f>AND(J879&lt;&gt;"", T879&gt;75)</f>
        <v>0</v>
      </c>
      <c r="J879" s="6"/>
    </row>
    <row r="880" spans="1:22" hidden="1" x14ac:dyDescent="0.3">
      <c r="A880" s="5">
        <v>897931</v>
      </c>
      <c r="B880" s="5" t="s">
        <v>2177</v>
      </c>
      <c r="C880" s="5" t="s">
        <v>2139</v>
      </c>
      <c r="D880" s="5" t="s">
        <v>2178</v>
      </c>
      <c r="G880" s="19" t="b">
        <f t="shared" si="13"/>
        <v>0</v>
      </c>
      <c r="H880" s="19" t="b">
        <f>AND(J880&lt;&gt;"", T880&gt;75)</f>
        <v>1</v>
      </c>
      <c r="I880" s="6">
        <v>270508</v>
      </c>
      <c r="J880" s="11" t="s">
        <v>2178</v>
      </c>
      <c r="K880" s="6" t="s">
        <v>326</v>
      </c>
      <c r="L880" s="13">
        <v>785592123992</v>
      </c>
      <c r="M880" s="6">
        <v>31162900</v>
      </c>
      <c r="O880" s="6">
        <v>143115</v>
      </c>
      <c r="P880" s="6" t="s">
        <v>2179</v>
      </c>
      <c r="Q880" s="6" t="s">
        <v>326</v>
      </c>
      <c r="S880" s="8">
        <v>0.80206101790445095</v>
      </c>
      <c r="T880" s="8">
        <v>87.603050895222495</v>
      </c>
      <c r="U880" s="8">
        <v>87.603050895222495</v>
      </c>
      <c r="V880" s="8">
        <v>85.412203580890306</v>
      </c>
    </row>
    <row r="881" spans="1:22" x14ac:dyDescent="0.3">
      <c r="A881" s="5">
        <v>897932</v>
      </c>
      <c r="B881" s="5" t="s">
        <v>2193</v>
      </c>
      <c r="C881" s="5" t="s">
        <v>1813</v>
      </c>
      <c r="D881" s="5" t="s">
        <v>2194</v>
      </c>
      <c r="E881" s="5" t="s">
        <v>2195</v>
      </c>
      <c r="G881" s="19" t="b">
        <f t="shared" si="13"/>
        <v>1</v>
      </c>
      <c r="H881" s="19" t="b">
        <f>AND(J881&lt;&gt;"", T881&gt;75)</f>
        <v>0</v>
      </c>
      <c r="J881" s="6"/>
      <c r="Q881" s="6" t="s">
        <v>194</v>
      </c>
      <c r="R881" s="6" t="s">
        <v>190</v>
      </c>
      <c r="U881" s="7">
        <v>60</v>
      </c>
    </row>
    <row r="882" spans="1:22" hidden="1" x14ac:dyDescent="0.3">
      <c r="A882" s="5">
        <v>897933</v>
      </c>
      <c r="B882" s="5" t="s">
        <v>2180</v>
      </c>
      <c r="C882" s="5" t="s">
        <v>2139</v>
      </c>
      <c r="D882" s="5" t="s">
        <v>2181</v>
      </c>
      <c r="G882" s="19" t="b">
        <f t="shared" si="13"/>
        <v>0</v>
      </c>
      <c r="H882" s="19" t="b">
        <f>AND(J882&lt;&gt;"", T882&gt;75)</f>
        <v>1</v>
      </c>
      <c r="I882" s="6">
        <v>268968</v>
      </c>
      <c r="J882" s="11" t="s">
        <v>2181</v>
      </c>
      <c r="K882" s="6" t="s">
        <v>326</v>
      </c>
      <c r="L882" s="13">
        <v>785592124005</v>
      </c>
      <c r="M882" s="6">
        <v>31162900</v>
      </c>
      <c r="O882" s="6">
        <v>143116</v>
      </c>
      <c r="P882" s="6" t="s">
        <v>2182</v>
      </c>
      <c r="Q882" s="6" t="s">
        <v>326</v>
      </c>
      <c r="S882" s="8">
        <v>0.80211227855844802</v>
      </c>
      <c r="T882" s="8">
        <v>87.605613927922406</v>
      </c>
      <c r="U882" s="8">
        <v>87.605613927922406</v>
      </c>
      <c r="V882" s="8">
        <v>85.422455711689693</v>
      </c>
    </row>
    <row r="883" spans="1:22" x14ac:dyDescent="0.3">
      <c r="A883" s="5">
        <v>897934</v>
      </c>
      <c r="B883" s="5" t="s">
        <v>2238</v>
      </c>
      <c r="C883" s="5" t="s">
        <v>1277</v>
      </c>
      <c r="D883" s="5" t="s">
        <v>2239</v>
      </c>
      <c r="E883" s="5" t="s">
        <v>2240</v>
      </c>
      <c r="G883" s="19" t="b">
        <f t="shared" si="13"/>
        <v>0</v>
      </c>
      <c r="H883" s="19" t="b">
        <f>AND(J883&lt;&gt;"", T883&gt;75)</f>
        <v>0</v>
      </c>
      <c r="J883" s="6"/>
    </row>
    <row r="884" spans="1:22" x14ac:dyDescent="0.3">
      <c r="A884" s="5">
        <v>897935</v>
      </c>
      <c r="B884" s="5" t="s">
        <v>2196</v>
      </c>
      <c r="C884" s="5" t="s">
        <v>1813</v>
      </c>
      <c r="D884" s="5" t="s">
        <v>2197</v>
      </c>
      <c r="E884" s="5" t="s">
        <v>2198</v>
      </c>
      <c r="G884" s="19" t="b">
        <f t="shared" si="13"/>
        <v>1</v>
      </c>
      <c r="H884" s="19" t="b">
        <f>AND(J884&lt;&gt;"", T884&gt;75)</f>
        <v>0</v>
      </c>
      <c r="J884" s="6"/>
      <c r="Q884" s="6" t="s">
        <v>39</v>
      </c>
      <c r="R884" s="6" t="s">
        <v>36</v>
      </c>
      <c r="U884" s="7">
        <v>50</v>
      </c>
    </row>
    <row r="885" spans="1:22" x14ac:dyDescent="0.3">
      <c r="A885" s="5">
        <v>897936</v>
      </c>
      <c r="B885" s="5" t="s">
        <v>2183</v>
      </c>
      <c r="C885" s="5" t="s">
        <v>1799</v>
      </c>
      <c r="D885" s="5">
        <v>953</v>
      </c>
      <c r="E885" s="5" t="s">
        <v>2184</v>
      </c>
      <c r="G885" s="19" t="b">
        <f t="shared" si="13"/>
        <v>0</v>
      </c>
      <c r="H885" s="19" t="b">
        <f>AND(J885&lt;&gt;"", T885&gt;75)</f>
        <v>0</v>
      </c>
      <c r="J885" s="6"/>
    </row>
    <row r="886" spans="1:22" hidden="1" x14ac:dyDescent="0.3">
      <c r="A886" s="5">
        <v>897937</v>
      </c>
      <c r="B886" s="5" t="s">
        <v>2241</v>
      </c>
      <c r="C886" s="5" t="s">
        <v>1277</v>
      </c>
      <c r="D886" s="5" t="s">
        <v>2242</v>
      </c>
      <c r="E886" s="5" t="s">
        <v>2243</v>
      </c>
      <c r="G886" s="19" t="b">
        <f t="shared" si="13"/>
        <v>0</v>
      </c>
      <c r="H886" s="19" t="b">
        <f>AND(J886&lt;&gt;"", T886&gt;75)</f>
        <v>0</v>
      </c>
      <c r="I886" s="6">
        <v>336927</v>
      </c>
      <c r="J886" s="6" t="s">
        <v>2244</v>
      </c>
      <c r="K886" s="6" t="s">
        <v>1281</v>
      </c>
      <c r="L886" s="13">
        <v>781381654500</v>
      </c>
      <c r="M886" s="6">
        <v>39121312</v>
      </c>
      <c r="N886" s="6" t="s">
        <v>2243</v>
      </c>
      <c r="O886" s="6">
        <v>252198</v>
      </c>
      <c r="P886" s="6" t="s">
        <v>2245</v>
      </c>
      <c r="Q886" s="6" t="s">
        <v>1281</v>
      </c>
      <c r="S886" s="7">
        <v>0.803424349763733</v>
      </c>
      <c r="T886" s="8">
        <v>13.5819158468097</v>
      </c>
      <c r="U886" s="8">
        <v>13.5819158468097</v>
      </c>
      <c r="V886" s="7">
        <v>92.842434976373298</v>
      </c>
    </row>
    <row r="887" spans="1:22" x14ac:dyDescent="0.3">
      <c r="A887" s="5">
        <v>897938</v>
      </c>
      <c r="B887" s="5" t="s">
        <v>2199</v>
      </c>
      <c r="C887" s="5" t="s">
        <v>1813</v>
      </c>
      <c r="D887" s="5" t="s">
        <v>2200</v>
      </c>
      <c r="E887" s="5" t="s">
        <v>2201</v>
      </c>
      <c r="G887" s="19" t="b">
        <f t="shared" si="13"/>
        <v>1</v>
      </c>
      <c r="H887" s="19" t="b">
        <f>AND(J887&lt;&gt;"", T887&gt;75)</f>
        <v>0</v>
      </c>
      <c r="J887" s="6"/>
      <c r="Q887" s="6" t="s">
        <v>194</v>
      </c>
      <c r="R887" s="6" t="s">
        <v>190</v>
      </c>
      <c r="U887" s="7">
        <v>60</v>
      </c>
    </row>
    <row r="888" spans="1:22" x14ac:dyDescent="0.3">
      <c r="A888" s="5">
        <v>897939</v>
      </c>
      <c r="B888" s="5" t="s">
        <v>1327</v>
      </c>
      <c r="C888" s="5" t="s">
        <v>1076</v>
      </c>
      <c r="D888" s="5" t="s">
        <v>1328</v>
      </c>
      <c r="E888" s="5" t="s">
        <v>2246</v>
      </c>
      <c r="G888" s="19" t="b">
        <f t="shared" si="13"/>
        <v>1</v>
      </c>
      <c r="H888" s="19" t="b">
        <f>AND(J888&lt;&gt;"", T888&gt;75)</f>
        <v>0</v>
      </c>
      <c r="J888" s="6"/>
      <c r="Q888" s="6" t="s">
        <v>1196</v>
      </c>
      <c r="R888" s="6" t="s">
        <v>1197</v>
      </c>
      <c r="U888" s="7">
        <v>60</v>
      </c>
    </row>
    <row r="889" spans="1:22" x14ac:dyDescent="0.3">
      <c r="A889" s="5">
        <v>897940</v>
      </c>
      <c r="B889" s="5" t="s">
        <v>2185</v>
      </c>
      <c r="C889" s="5" t="s">
        <v>1799</v>
      </c>
      <c r="D889" s="5">
        <v>954</v>
      </c>
      <c r="E889" s="5" t="s">
        <v>2186</v>
      </c>
      <c r="G889" s="19" t="b">
        <f t="shared" si="13"/>
        <v>0</v>
      </c>
      <c r="H889" s="19" t="b">
        <f>AND(J889&lt;&gt;"", T889&gt;75)</f>
        <v>0</v>
      </c>
      <c r="J889" s="6"/>
    </row>
    <row r="890" spans="1:22" x14ac:dyDescent="0.3">
      <c r="A890" s="5">
        <v>897941</v>
      </c>
      <c r="B890" s="5" t="s">
        <v>2202</v>
      </c>
      <c r="C890" s="5" t="s">
        <v>1813</v>
      </c>
      <c r="D890" s="5" t="s">
        <v>2203</v>
      </c>
      <c r="E890" s="5" t="s">
        <v>2204</v>
      </c>
      <c r="G890" s="19" t="b">
        <f t="shared" si="13"/>
        <v>1</v>
      </c>
      <c r="H890" s="19" t="b">
        <f>AND(J890&lt;&gt;"", T890&gt;75)</f>
        <v>0</v>
      </c>
      <c r="J890" s="6"/>
      <c r="Q890" s="6" t="s">
        <v>39</v>
      </c>
      <c r="R890" s="6" t="s">
        <v>36</v>
      </c>
      <c r="U890" s="7">
        <v>50</v>
      </c>
    </row>
    <row r="891" spans="1:22" x14ac:dyDescent="0.3">
      <c r="A891" s="5">
        <v>897942</v>
      </c>
      <c r="B891" s="5" t="s">
        <v>1075</v>
      </c>
      <c r="C891" s="5" t="s">
        <v>1076</v>
      </c>
      <c r="D891" s="5" t="s">
        <v>1077</v>
      </c>
      <c r="E891" s="5" t="s">
        <v>2247</v>
      </c>
      <c r="G891" s="19" t="b">
        <f t="shared" si="13"/>
        <v>0</v>
      </c>
      <c r="H891" s="19" t="b">
        <f>AND(J891&lt;&gt;"", T891&gt;75)</f>
        <v>0</v>
      </c>
      <c r="J891" s="6"/>
    </row>
    <row r="892" spans="1:22" x14ac:dyDescent="0.3">
      <c r="A892" s="5">
        <v>897943</v>
      </c>
      <c r="B892" s="5" t="s">
        <v>2187</v>
      </c>
      <c r="C892" s="5" t="s">
        <v>2107</v>
      </c>
      <c r="G892" s="19" t="b">
        <f t="shared" si="13"/>
        <v>0</v>
      </c>
      <c r="H892" s="19" t="b">
        <f>AND(J892&lt;&gt;"", T892&gt;75)</f>
        <v>0</v>
      </c>
      <c r="J892" s="6"/>
    </row>
    <row r="893" spans="1:22" x14ac:dyDescent="0.3">
      <c r="A893" s="5">
        <v>897944</v>
      </c>
      <c r="B893" s="5" t="s">
        <v>1877</v>
      </c>
      <c r="C893" s="5" t="s">
        <v>1813</v>
      </c>
      <c r="D893" s="5" t="s">
        <v>1878</v>
      </c>
      <c r="E893" s="5" t="s">
        <v>1879</v>
      </c>
      <c r="G893" s="19" t="b">
        <f t="shared" si="13"/>
        <v>1</v>
      </c>
      <c r="H893" s="19" t="b">
        <f>AND(J893&lt;&gt;"", T893&gt;75)</f>
        <v>0</v>
      </c>
      <c r="J893" s="6"/>
      <c r="Q893" s="6" t="s">
        <v>194</v>
      </c>
      <c r="R893" s="6" t="s">
        <v>190</v>
      </c>
      <c r="U893" s="7">
        <v>60</v>
      </c>
    </row>
    <row r="894" spans="1:22" x14ac:dyDescent="0.3">
      <c r="A894" s="5">
        <v>897945</v>
      </c>
      <c r="B894" s="5" t="s">
        <v>2188</v>
      </c>
      <c r="C894" s="5" t="s">
        <v>2107</v>
      </c>
      <c r="D894" s="5" t="s">
        <v>2189</v>
      </c>
      <c r="G894" s="19" t="b">
        <f t="shared" si="13"/>
        <v>0</v>
      </c>
      <c r="H894" s="19" t="b">
        <f>AND(J894&lt;&gt;"", T894&gt;75)</f>
        <v>0</v>
      </c>
      <c r="J894" s="6"/>
    </row>
    <row r="895" spans="1:22" x14ac:dyDescent="0.3">
      <c r="A895" s="5">
        <v>897946</v>
      </c>
      <c r="B895" s="5" t="s">
        <v>2205</v>
      </c>
      <c r="C895" s="5" t="s">
        <v>2206</v>
      </c>
      <c r="D895" s="5" t="s">
        <v>2207</v>
      </c>
      <c r="G895" s="19" t="b">
        <f t="shared" si="13"/>
        <v>1</v>
      </c>
      <c r="H895" s="19" t="b">
        <f>AND(J895&lt;&gt;"", T895&gt;75)</f>
        <v>0</v>
      </c>
      <c r="J895" s="6"/>
      <c r="Q895" s="6" t="s">
        <v>2206</v>
      </c>
      <c r="R895" s="6" t="s">
        <v>2206</v>
      </c>
      <c r="U895" s="7">
        <v>70</v>
      </c>
    </row>
    <row r="896" spans="1:22" x14ac:dyDescent="0.3">
      <c r="A896" s="5">
        <v>897947</v>
      </c>
      <c r="B896" s="5" t="s">
        <v>2190</v>
      </c>
      <c r="C896" s="5" t="s">
        <v>2107</v>
      </c>
      <c r="G896" s="19" t="b">
        <f t="shared" si="13"/>
        <v>0</v>
      </c>
      <c r="H896" s="19" t="b">
        <f>AND(J896&lt;&gt;"", T896&gt;75)</f>
        <v>0</v>
      </c>
      <c r="J896" s="6"/>
    </row>
    <row r="897" spans="1:22" x14ac:dyDescent="0.3">
      <c r="A897" s="5">
        <v>897948</v>
      </c>
      <c r="B897" s="5" t="s">
        <v>2248</v>
      </c>
      <c r="C897" s="5" t="s">
        <v>2109</v>
      </c>
      <c r="G897" s="19" t="b">
        <f t="shared" si="13"/>
        <v>0</v>
      </c>
      <c r="H897" s="19" t="b">
        <f>AND(J897&lt;&gt;"", T897&gt;75)</f>
        <v>0</v>
      </c>
      <c r="J897" s="6"/>
    </row>
    <row r="898" spans="1:22" x14ac:dyDescent="0.3">
      <c r="A898" s="5">
        <v>897949</v>
      </c>
      <c r="B898" s="5" t="s">
        <v>2191</v>
      </c>
      <c r="C898" s="5" t="s">
        <v>2107</v>
      </c>
      <c r="G898" s="19" t="b">
        <f t="shared" si="13"/>
        <v>0</v>
      </c>
      <c r="H898" s="19" t="b">
        <f>AND(J898&lt;&gt;"", T898&gt;75)</f>
        <v>0</v>
      </c>
      <c r="J898" s="6"/>
    </row>
    <row r="899" spans="1:22" x14ac:dyDescent="0.3">
      <c r="A899" s="5">
        <v>897950</v>
      </c>
      <c r="B899" s="5" t="s">
        <v>2249</v>
      </c>
      <c r="C899" s="5" t="s">
        <v>2109</v>
      </c>
      <c r="G899" s="19" t="b">
        <f t="shared" ref="G899:G962" si="14">(R899&lt;&gt;"")</f>
        <v>0</v>
      </c>
      <c r="H899" s="19" t="b">
        <f>AND(J899&lt;&gt;"", T899&gt;75)</f>
        <v>0</v>
      </c>
      <c r="J899" s="6"/>
    </row>
    <row r="900" spans="1:22" x14ac:dyDescent="0.3">
      <c r="A900" s="5">
        <v>897951</v>
      </c>
      <c r="B900" s="5" t="s">
        <v>2192</v>
      </c>
      <c r="C900" s="5" t="s">
        <v>2109</v>
      </c>
      <c r="G900" s="19" t="b">
        <f t="shared" si="14"/>
        <v>0</v>
      </c>
      <c r="H900" s="19" t="b">
        <f>AND(J900&lt;&gt;"", T900&gt;75)</f>
        <v>0</v>
      </c>
      <c r="J900" s="6"/>
    </row>
    <row r="901" spans="1:22" x14ac:dyDescent="0.3">
      <c r="A901" s="5">
        <v>897952</v>
      </c>
      <c r="B901" s="5" t="s">
        <v>2210</v>
      </c>
      <c r="C901" s="5" t="s">
        <v>2109</v>
      </c>
      <c r="G901" s="19" t="b">
        <f t="shared" si="14"/>
        <v>0</v>
      </c>
      <c r="H901" s="19" t="b">
        <f>AND(J901&lt;&gt;"", T901&gt;75)</f>
        <v>0</v>
      </c>
      <c r="J901" s="6"/>
    </row>
    <row r="902" spans="1:22" x14ac:dyDescent="0.3">
      <c r="A902" s="5">
        <v>897953</v>
      </c>
      <c r="B902" s="5" t="s">
        <v>2106</v>
      </c>
      <c r="C902" s="5" t="s">
        <v>2107</v>
      </c>
      <c r="G902" s="19" t="b">
        <f t="shared" si="14"/>
        <v>0</v>
      </c>
      <c r="H902" s="19" t="b">
        <f>AND(J902&lt;&gt;"", T902&gt;75)</f>
        <v>0</v>
      </c>
      <c r="J902" s="6"/>
    </row>
    <row r="903" spans="1:22" x14ac:dyDescent="0.3">
      <c r="A903" s="5">
        <v>897954</v>
      </c>
      <c r="B903" s="5" t="s">
        <v>2211</v>
      </c>
      <c r="C903" s="5" t="s">
        <v>2109</v>
      </c>
      <c r="G903" s="19" t="b">
        <f t="shared" si="14"/>
        <v>0</v>
      </c>
      <c r="H903" s="19" t="b">
        <f>AND(J903&lt;&gt;"", T903&gt;75)</f>
        <v>0</v>
      </c>
      <c r="J903" s="6"/>
    </row>
    <row r="904" spans="1:22" x14ac:dyDescent="0.3">
      <c r="A904" s="5">
        <v>897955</v>
      </c>
      <c r="B904" s="5" t="s">
        <v>2212</v>
      </c>
      <c r="C904" s="5" t="s">
        <v>2109</v>
      </c>
      <c r="G904" s="19" t="b">
        <f t="shared" si="14"/>
        <v>0</v>
      </c>
      <c r="H904" s="19" t="b">
        <f>AND(J904&lt;&gt;"", T904&gt;75)</f>
        <v>0</v>
      </c>
      <c r="J904" s="6"/>
    </row>
    <row r="905" spans="1:22" x14ac:dyDescent="0.3">
      <c r="A905" s="5">
        <v>897956</v>
      </c>
      <c r="B905" s="5" t="s">
        <v>2121</v>
      </c>
      <c r="C905" s="5" t="s">
        <v>2107</v>
      </c>
      <c r="G905" s="19" t="b">
        <f t="shared" si="14"/>
        <v>0</v>
      </c>
      <c r="H905" s="19" t="b">
        <f>AND(J905&lt;&gt;"", T905&gt;75)</f>
        <v>0</v>
      </c>
      <c r="J905" s="6"/>
    </row>
    <row r="906" spans="1:22" x14ac:dyDescent="0.3">
      <c r="A906" s="5">
        <v>897957</v>
      </c>
      <c r="B906" s="5" t="s">
        <v>2250</v>
      </c>
      <c r="C906" s="5" t="s">
        <v>1130</v>
      </c>
      <c r="D906" s="5">
        <v>4250</v>
      </c>
      <c r="E906" s="5" t="s">
        <v>2251</v>
      </c>
      <c r="G906" s="19" t="b">
        <f t="shared" si="14"/>
        <v>0</v>
      </c>
      <c r="H906" s="19" t="b">
        <f>AND(J906&lt;&gt;"", T906&gt;75)</f>
        <v>0</v>
      </c>
      <c r="J906" s="6"/>
    </row>
    <row r="907" spans="1:22" x14ac:dyDescent="0.3">
      <c r="A907" s="5">
        <v>897958</v>
      </c>
      <c r="B907" s="5" t="s">
        <v>2193</v>
      </c>
      <c r="C907" s="5" t="s">
        <v>1813</v>
      </c>
      <c r="D907" s="5" t="s">
        <v>2194</v>
      </c>
      <c r="E907" s="5" t="s">
        <v>2195</v>
      </c>
      <c r="G907" s="19" t="b">
        <f t="shared" si="14"/>
        <v>1</v>
      </c>
      <c r="H907" s="19" t="b">
        <f>AND(J907&lt;&gt;"", T907&gt;75)</f>
        <v>0</v>
      </c>
      <c r="J907" s="6"/>
      <c r="Q907" s="6" t="s">
        <v>194</v>
      </c>
      <c r="R907" s="6" t="s">
        <v>190</v>
      </c>
      <c r="U907" s="7">
        <v>60</v>
      </c>
    </row>
    <row r="908" spans="1:22" x14ac:dyDescent="0.3">
      <c r="A908" s="5">
        <v>897959</v>
      </c>
      <c r="B908" s="5" t="s">
        <v>2152</v>
      </c>
      <c r="C908" s="5" t="s">
        <v>2109</v>
      </c>
      <c r="G908" s="19" t="b">
        <f t="shared" si="14"/>
        <v>0</v>
      </c>
      <c r="H908" s="19" t="b">
        <f>AND(J908&lt;&gt;"", T908&gt;75)</f>
        <v>0</v>
      </c>
      <c r="J908" s="6"/>
    </row>
    <row r="909" spans="1:22" x14ac:dyDescent="0.3">
      <c r="A909" s="5">
        <v>897960</v>
      </c>
      <c r="B909" s="5" t="s">
        <v>2196</v>
      </c>
      <c r="C909" s="5" t="s">
        <v>1813</v>
      </c>
      <c r="D909" s="5" t="s">
        <v>2197</v>
      </c>
      <c r="E909" s="5" t="s">
        <v>2198</v>
      </c>
      <c r="G909" s="19" t="b">
        <f t="shared" si="14"/>
        <v>1</v>
      </c>
      <c r="H909" s="19" t="b">
        <f>AND(J909&lt;&gt;"", T909&gt;75)</f>
        <v>0</v>
      </c>
      <c r="J909" s="6"/>
      <c r="Q909" s="6" t="s">
        <v>39</v>
      </c>
      <c r="R909" s="6" t="s">
        <v>36</v>
      </c>
      <c r="U909" s="7">
        <v>50</v>
      </c>
    </row>
    <row r="910" spans="1:22" x14ac:dyDescent="0.3">
      <c r="A910" s="5">
        <v>897961</v>
      </c>
      <c r="B910" s="5" t="s">
        <v>2138</v>
      </c>
      <c r="C910" s="5" t="s">
        <v>2139</v>
      </c>
      <c r="G910" s="19" t="b">
        <f t="shared" si="14"/>
        <v>0</v>
      </c>
      <c r="H910" s="19" t="b">
        <f>AND(J910&lt;&gt;"", T910&gt;75)</f>
        <v>0</v>
      </c>
      <c r="J910" s="6"/>
    </row>
    <row r="911" spans="1:22" x14ac:dyDescent="0.3">
      <c r="A911" s="5">
        <v>897962</v>
      </c>
      <c r="B911" s="5" t="s">
        <v>2199</v>
      </c>
      <c r="C911" s="5" t="s">
        <v>1813</v>
      </c>
      <c r="D911" s="5" t="s">
        <v>2200</v>
      </c>
      <c r="E911" s="5" t="s">
        <v>2201</v>
      </c>
      <c r="G911" s="19" t="b">
        <f t="shared" si="14"/>
        <v>1</v>
      </c>
      <c r="H911" s="19" t="b">
        <f>AND(J911&lt;&gt;"", T911&gt;75)</f>
        <v>0</v>
      </c>
      <c r="J911" s="6"/>
      <c r="Q911" s="6" t="s">
        <v>194</v>
      </c>
      <c r="R911" s="6" t="s">
        <v>190</v>
      </c>
      <c r="U911" s="7">
        <v>60</v>
      </c>
    </row>
    <row r="912" spans="1:22" hidden="1" x14ac:dyDescent="0.3">
      <c r="A912" s="5">
        <v>897963</v>
      </c>
      <c r="B912" s="5" t="s">
        <v>2140</v>
      </c>
      <c r="C912" s="5" t="s">
        <v>1017</v>
      </c>
      <c r="D912" s="5" t="s">
        <v>2141</v>
      </c>
      <c r="E912" s="5" t="s">
        <v>2142</v>
      </c>
      <c r="G912" s="19" t="b">
        <f t="shared" si="14"/>
        <v>0</v>
      </c>
      <c r="H912" s="19" t="b">
        <f>AND(J912&lt;&gt;"", T912&gt;75)</f>
        <v>1</v>
      </c>
      <c r="I912" s="6">
        <v>337244</v>
      </c>
      <c r="J912" s="11" t="s">
        <v>2141</v>
      </c>
      <c r="K912" s="6" t="s">
        <v>112</v>
      </c>
      <c r="L912" s="13">
        <v>781011403737</v>
      </c>
      <c r="M912" s="6">
        <v>31161708</v>
      </c>
      <c r="N912" s="6" t="s">
        <v>2142</v>
      </c>
      <c r="O912" s="6">
        <v>253355</v>
      </c>
      <c r="P912" s="6" t="s">
        <v>2143</v>
      </c>
      <c r="Q912" s="6" t="s">
        <v>42</v>
      </c>
      <c r="S912" s="8">
        <v>0.96505571213670904</v>
      </c>
      <c r="T912" s="8">
        <v>90.752785606835403</v>
      </c>
      <c r="U912" s="8">
        <v>92.752785606835403</v>
      </c>
      <c r="V912" s="7">
        <v>100</v>
      </c>
    </row>
    <row r="913" spans="1:22" x14ac:dyDescent="0.3">
      <c r="A913" s="5">
        <v>897964</v>
      </c>
      <c r="B913" s="5" t="s">
        <v>2202</v>
      </c>
      <c r="C913" s="5" t="s">
        <v>1813</v>
      </c>
      <c r="D913" s="5" t="s">
        <v>2203</v>
      </c>
      <c r="E913" s="5" t="s">
        <v>2204</v>
      </c>
      <c r="G913" s="19" t="b">
        <f t="shared" si="14"/>
        <v>1</v>
      </c>
      <c r="H913" s="19" t="b">
        <f>AND(J913&lt;&gt;"", T913&gt;75)</f>
        <v>0</v>
      </c>
      <c r="J913" s="6"/>
      <c r="Q913" s="6" t="s">
        <v>39</v>
      </c>
      <c r="R913" s="6" t="s">
        <v>36</v>
      </c>
      <c r="U913" s="7">
        <v>50</v>
      </c>
    </row>
    <row r="914" spans="1:22" x14ac:dyDescent="0.3">
      <c r="A914" s="5">
        <v>897965</v>
      </c>
      <c r="B914" s="5" t="s">
        <v>2214</v>
      </c>
      <c r="C914" s="5" t="s">
        <v>2109</v>
      </c>
      <c r="G914" s="19" t="b">
        <f t="shared" si="14"/>
        <v>0</v>
      </c>
      <c r="H914" s="19" t="b">
        <f>AND(J914&lt;&gt;"", T914&gt;75)</f>
        <v>0</v>
      </c>
      <c r="J914" s="6"/>
    </row>
    <row r="915" spans="1:22" hidden="1" x14ac:dyDescent="0.3">
      <c r="A915" s="5">
        <v>897966</v>
      </c>
      <c r="B915" s="5" t="s">
        <v>2215</v>
      </c>
      <c r="C915" s="5" t="s">
        <v>2139</v>
      </c>
      <c r="D915" s="5" t="s">
        <v>2216</v>
      </c>
      <c r="G915" s="19" t="b">
        <f t="shared" si="14"/>
        <v>0</v>
      </c>
      <c r="H915" s="19" t="b">
        <f>AND(J915&lt;&gt;"", T915&gt;75)</f>
        <v>1</v>
      </c>
      <c r="I915" s="6">
        <v>322176</v>
      </c>
      <c r="J915" s="11" t="s">
        <v>2216</v>
      </c>
      <c r="K915" s="6" t="s">
        <v>326</v>
      </c>
      <c r="L915" s="13">
        <v>751338041714</v>
      </c>
      <c r="M915" s="6">
        <v>31162905</v>
      </c>
      <c r="O915" s="6">
        <v>219555</v>
      </c>
      <c r="P915" s="6" t="s">
        <v>2217</v>
      </c>
      <c r="Q915" s="6" t="s">
        <v>326</v>
      </c>
      <c r="S915" s="8">
        <v>0.832830634344911</v>
      </c>
      <c r="T915" s="7">
        <v>100</v>
      </c>
      <c r="U915" s="8">
        <v>98.141531717245499</v>
      </c>
      <c r="V915" s="7">
        <v>100</v>
      </c>
    </row>
    <row r="916" spans="1:22" x14ac:dyDescent="0.3">
      <c r="A916" s="5">
        <v>897967</v>
      </c>
      <c r="B916" s="5" t="s">
        <v>1877</v>
      </c>
      <c r="C916" s="5" t="s">
        <v>1813</v>
      </c>
      <c r="D916" s="5" t="s">
        <v>1878</v>
      </c>
      <c r="E916" s="5" t="s">
        <v>1879</v>
      </c>
      <c r="G916" s="19" t="b">
        <f t="shared" si="14"/>
        <v>1</v>
      </c>
      <c r="H916" s="19" t="b">
        <f>AND(J916&lt;&gt;"", T916&gt;75)</f>
        <v>0</v>
      </c>
      <c r="J916" s="6"/>
      <c r="Q916" s="6" t="s">
        <v>194</v>
      </c>
      <c r="R916" s="6" t="s">
        <v>190</v>
      </c>
      <c r="U916" s="7">
        <v>60</v>
      </c>
    </row>
    <row r="917" spans="1:22" x14ac:dyDescent="0.3">
      <c r="A917" s="5">
        <v>897968</v>
      </c>
      <c r="B917" s="5" t="s">
        <v>2205</v>
      </c>
      <c r="C917" s="5" t="s">
        <v>2206</v>
      </c>
      <c r="D917" s="5" t="s">
        <v>2207</v>
      </c>
      <c r="G917" s="19" t="b">
        <f t="shared" si="14"/>
        <v>1</v>
      </c>
      <c r="H917" s="19" t="b">
        <f>AND(J917&lt;&gt;"", T917&gt;75)</f>
        <v>0</v>
      </c>
      <c r="J917" s="6"/>
      <c r="Q917" s="6" t="s">
        <v>2206</v>
      </c>
      <c r="R917" s="6" t="s">
        <v>2206</v>
      </c>
      <c r="U917" s="7">
        <v>70</v>
      </c>
    </row>
    <row r="918" spans="1:22" x14ac:dyDescent="0.3">
      <c r="A918" s="5">
        <v>897969</v>
      </c>
      <c r="B918" s="5" t="s">
        <v>2248</v>
      </c>
      <c r="C918" s="5" t="s">
        <v>2109</v>
      </c>
      <c r="G918" s="19" t="b">
        <f t="shared" si="14"/>
        <v>0</v>
      </c>
      <c r="H918" s="19" t="b">
        <f>AND(J918&lt;&gt;"", T918&gt;75)</f>
        <v>0</v>
      </c>
      <c r="J918" s="6"/>
    </row>
    <row r="919" spans="1:22" x14ac:dyDescent="0.3">
      <c r="A919" s="5">
        <v>897970</v>
      </c>
      <c r="B919" s="5" t="s">
        <v>2209</v>
      </c>
      <c r="C919" s="5" t="s">
        <v>2109</v>
      </c>
      <c r="G919" s="19" t="b">
        <f t="shared" si="14"/>
        <v>0</v>
      </c>
      <c r="H919" s="19" t="b">
        <f>AND(J919&lt;&gt;"", T919&gt;75)</f>
        <v>0</v>
      </c>
      <c r="J919" s="6"/>
    </row>
    <row r="920" spans="1:22" x14ac:dyDescent="0.3">
      <c r="A920" s="5">
        <v>897971</v>
      </c>
      <c r="B920" s="5" t="s">
        <v>2210</v>
      </c>
      <c r="C920" s="5" t="s">
        <v>2109</v>
      </c>
      <c r="G920" s="19" t="b">
        <f t="shared" si="14"/>
        <v>0</v>
      </c>
      <c r="H920" s="19" t="b">
        <f>AND(J920&lt;&gt;"", T920&gt;75)</f>
        <v>0</v>
      </c>
      <c r="J920" s="6"/>
    </row>
    <row r="921" spans="1:22" x14ac:dyDescent="0.3">
      <c r="A921" s="5">
        <v>897972</v>
      </c>
      <c r="B921" s="5" t="s">
        <v>2211</v>
      </c>
      <c r="C921" s="5" t="s">
        <v>2109</v>
      </c>
      <c r="G921" s="19" t="b">
        <f t="shared" si="14"/>
        <v>0</v>
      </c>
      <c r="H921" s="19" t="b">
        <f>AND(J921&lt;&gt;"", T921&gt;75)</f>
        <v>0</v>
      </c>
      <c r="J921" s="6"/>
    </row>
    <row r="922" spans="1:22" x14ac:dyDescent="0.3">
      <c r="A922" s="5">
        <v>897973</v>
      </c>
      <c r="B922" s="5" t="s">
        <v>2212</v>
      </c>
      <c r="C922" s="5" t="s">
        <v>2109</v>
      </c>
      <c r="G922" s="19" t="b">
        <f t="shared" si="14"/>
        <v>0</v>
      </c>
      <c r="H922" s="19" t="b">
        <f>AND(J922&lt;&gt;"", T922&gt;75)</f>
        <v>0</v>
      </c>
      <c r="J922" s="6"/>
    </row>
    <row r="923" spans="1:22" x14ac:dyDescent="0.3">
      <c r="A923" s="5">
        <v>897974</v>
      </c>
      <c r="B923" s="5" t="s">
        <v>2152</v>
      </c>
      <c r="C923" s="5" t="s">
        <v>2109</v>
      </c>
      <c r="G923" s="19" t="b">
        <f t="shared" si="14"/>
        <v>0</v>
      </c>
      <c r="H923" s="19" t="b">
        <f>AND(J923&lt;&gt;"", T923&gt;75)</f>
        <v>0</v>
      </c>
      <c r="J923" s="6"/>
    </row>
    <row r="924" spans="1:22" x14ac:dyDescent="0.3">
      <c r="A924" s="5">
        <v>897975</v>
      </c>
      <c r="B924" s="5" t="s">
        <v>2138</v>
      </c>
      <c r="C924" s="5" t="s">
        <v>2139</v>
      </c>
      <c r="G924" s="19" t="b">
        <f t="shared" si="14"/>
        <v>0</v>
      </c>
      <c r="H924" s="19" t="b">
        <f>AND(J924&lt;&gt;"", T924&gt;75)</f>
        <v>0</v>
      </c>
      <c r="J924" s="6"/>
    </row>
    <row r="925" spans="1:22" hidden="1" x14ac:dyDescent="0.3">
      <c r="A925" s="5">
        <v>897976</v>
      </c>
      <c r="B925" s="5" t="s">
        <v>2140</v>
      </c>
      <c r="C925" s="5" t="s">
        <v>1017</v>
      </c>
      <c r="D925" s="5" t="s">
        <v>2141</v>
      </c>
      <c r="E925" s="5" t="s">
        <v>2142</v>
      </c>
      <c r="G925" s="19" t="b">
        <f t="shared" si="14"/>
        <v>0</v>
      </c>
      <c r="H925" s="19" t="b">
        <f>AND(J925&lt;&gt;"", T925&gt;75)</f>
        <v>1</v>
      </c>
      <c r="I925" s="6">
        <v>337244</v>
      </c>
      <c r="J925" s="11" t="s">
        <v>2141</v>
      </c>
      <c r="K925" s="6" t="s">
        <v>112</v>
      </c>
      <c r="L925" s="13">
        <v>781011403737</v>
      </c>
      <c r="M925" s="6">
        <v>31161708</v>
      </c>
      <c r="N925" s="6" t="s">
        <v>2142</v>
      </c>
      <c r="O925" s="6">
        <v>253355</v>
      </c>
      <c r="P925" s="6" t="s">
        <v>2143</v>
      </c>
      <c r="Q925" s="6" t="s">
        <v>42</v>
      </c>
      <c r="S925" s="8">
        <v>0.96505566863713199</v>
      </c>
      <c r="T925" s="8">
        <v>90.752783431856599</v>
      </c>
      <c r="U925" s="8">
        <v>92.752783431856599</v>
      </c>
      <c r="V925" s="7">
        <v>100</v>
      </c>
    </row>
    <row r="926" spans="1:22" x14ac:dyDescent="0.3">
      <c r="A926" s="5">
        <v>897977</v>
      </c>
      <c r="B926" s="5" t="s">
        <v>2214</v>
      </c>
      <c r="C926" s="5" t="s">
        <v>2109</v>
      </c>
      <c r="G926" s="19" t="b">
        <f t="shared" si="14"/>
        <v>0</v>
      </c>
      <c r="H926" s="19" t="b">
        <f>AND(J926&lt;&gt;"", T926&gt;75)</f>
        <v>0</v>
      </c>
      <c r="J926" s="6"/>
    </row>
    <row r="927" spans="1:22" hidden="1" x14ac:dyDescent="0.3">
      <c r="A927" s="5">
        <v>897978</v>
      </c>
      <c r="B927" s="5" t="s">
        <v>2215</v>
      </c>
      <c r="C927" s="5" t="s">
        <v>2139</v>
      </c>
      <c r="D927" s="5" t="s">
        <v>2216</v>
      </c>
      <c r="G927" s="19" t="b">
        <f t="shared" si="14"/>
        <v>0</v>
      </c>
      <c r="H927" s="19" t="b">
        <f>AND(J927&lt;&gt;"", T927&gt;75)</f>
        <v>1</v>
      </c>
      <c r="I927" s="6">
        <v>322176</v>
      </c>
      <c r="J927" s="11" t="s">
        <v>2216</v>
      </c>
      <c r="K927" s="6" t="s">
        <v>326</v>
      </c>
      <c r="L927" s="13">
        <v>751338041714</v>
      </c>
      <c r="M927" s="6">
        <v>31162905</v>
      </c>
      <c r="O927" s="6">
        <v>219555</v>
      </c>
      <c r="P927" s="6" t="s">
        <v>2217</v>
      </c>
      <c r="Q927" s="6" t="s">
        <v>326</v>
      </c>
      <c r="S927" s="8">
        <v>0.832830634344911</v>
      </c>
      <c r="T927" s="7">
        <v>100</v>
      </c>
      <c r="U927" s="8">
        <v>98.141531717245499</v>
      </c>
      <c r="V927" s="7">
        <v>100</v>
      </c>
    </row>
    <row r="928" spans="1:22" x14ac:dyDescent="0.3">
      <c r="A928" s="5">
        <v>897979</v>
      </c>
      <c r="B928" s="5" t="s">
        <v>2252</v>
      </c>
      <c r="C928" s="5" t="s">
        <v>2102</v>
      </c>
      <c r="D928" s="5" t="s">
        <v>2253</v>
      </c>
      <c r="G928" s="19" t="b">
        <f t="shared" si="14"/>
        <v>0</v>
      </c>
      <c r="H928" s="19" t="b">
        <f>AND(J928&lt;&gt;"", T928&gt;75)</f>
        <v>0</v>
      </c>
      <c r="J928" s="6"/>
    </row>
    <row r="929" spans="1:22" hidden="1" x14ac:dyDescent="0.3">
      <c r="A929" s="5">
        <v>897980</v>
      </c>
      <c r="B929" s="5" t="s">
        <v>1211</v>
      </c>
      <c r="C929" s="5" t="s">
        <v>1025</v>
      </c>
      <c r="D929" s="5" t="s">
        <v>1212</v>
      </c>
      <c r="E929" s="5" t="s">
        <v>1213</v>
      </c>
      <c r="G929" s="19" t="b">
        <f t="shared" si="14"/>
        <v>1</v>
      </c>
      <c r="H929" s="19" t="b">
        <f>AND(J929&lt;&gt;"", T929&gt;75)</f>
        <v>0</v>
      </c>
      <c r="I929" s="6">
        <v>336220</v>
      </c>
      <c r="J929" s="6" t="s">
        <v>1214</v>
      </c>
      <c r="K929" s="6" t="s">
        <v>540</v>
      </c>
      <c r="L929" s="14" t="s">
        <v>1215</v>
      </c>
      <c r="M929" s="6">
        <v>39121406</v>
      </c>
      <c r="N929" s="6" t="s">
        <v>1213</v>
      </c>
      <c r="O929" s="6">
        <v>262728</v>
      </c>
      <c r="P929" s="6" t="s">
        <v>1216</v>
      </c>
      <c r="Q929" s="6" t="s">
        <v>540</v>
      </c>
      <c r="R929" s="6" t="s">
        <v>1025</v>
      </c>
      <c r="S929" s="8">
        <v>0.97209286152476604</v>
      </c>
      <c r="T929" s="7">
        <v>0</v>
      </c>
      <c r="U929" s="7">
        <v>100</v>
      </c>
      <c r="V929" s="7">
        <v>100</v>
      </c>
    </row>
    <row r="930" spans="1:22" x14ac:dyDescent="0.3">
      <c r="A930" s="5">
        <v>897981</v>
      </c>
      <c r="B930" s="5" t="s">
        <v>2254</v>
      </c>
      <c r="C930" s="5" t="s">
        <v>2124</v>
      </c>
      <c r="D930" s="5" t="s">
        <v>2255</v>
      </c>
      <c r="G930" s="19" t="b">
        <f t="shared" si="14"/>
        <v>0</v>
      </c>
      <c r="H930" s="19" t="b">
        <f>AND(J930&lt;&gt;"", T930&gt;75)</f>
        <v>0</v>
      </c>
      <c r="J930" s="6"/>
    </row>
    <row r="931" spans="1:22" hidden="1" x14ac:dyDescent="0.3">
      <c r="A931" s="5">
        <v>897982</v>
      </c>
      <c r="B931" s="5" t="s">
        <v>2256</v>
      </c>
      <c r="C931" s="5" t="s">
        <v>1053</v>
      </c>
      <c r="D931" s="5" t="s">
        <v>2257</v>
      </c>
      <c r="E931" s="5" t="s">
        <v>2258</v>
      </c>
      <c r="G931" s="19" t="b">
        <f t="shared" si="14"/>
        <v>0</v>
      </c>
      <c r="H931" s="19" t="b">
        <f>AND(J931&lt;&gt;"", T931&gt;75)</f>
        <v>1</v>
      </c>
      <c r="I931" s="6">
        <v>339578</v>
      </c>
      <c r="J931" s="11" t="s">
        <v>2259</v>
      </c>
      <c r="K931" s="6" t="s">
        <v>565</v>
      </c>
      <c r="L931" s="13">
        <v>783250572748</v>
      </c>
      <c r="M931" s="6">
        <v>39121703</v>
      </c>
      <c r="N931" s="6" t="s">
        <v>2258</v>
      </c>
      <c r="O931" s="6">
        <v>260757</v>
      </c>
      <c r="P931" s="6" t="s">
        <v>2260</v>
      </c>
      <c r="Q931" s="6" t="s">
        <v>565</v>
      </c>
      <c r="S931" s="8">
        <v>0.94080463091854205</v>
      </c>
      <c r="T931" s="8">
        <v>89.540231545927099</v>
      </c>
      <c r="U931" s="8">
        <v>91.540231545927099</v>
      </c>
      <c r="V931" s="7">
        <v>100</v>
      </c>
    </row>
    <row r="932" spans="1:22" x14ac:dyDescent="0.3">
      <c r="A932" s="5">
        <v>897983</v>
      </c>
      <c r="B932" s="5" t="s">
        <v>2261</v>
      </c>
      <c r="C932" s="5" t="s">
        <v>2229</v>
      </c>
      <c r="G932" s="19" t="b">
        <f t="shared" si="14"/>
        <v>1</v>
      </c>
      <c r="H932" s="19" t="b">
        <f>AND(J932&lt;&gt;"", T932&gt;75)</f>
        <v>0</v>
      </c>
      <c r="J932" s="6"/>
      <c r="Q932" s="6" t="s">
        <v>39</v>
      </c>
      <c r="R932" s="6" t="s">
        <v>2262</v>
      </c>
      <c r="U932" s="7">
        <v>100</v>
      </c>
    </row>
    <row r="933" spans="1:22" x14ac:dyDescent="0.3">
      <c r="A933" s="5">
        <v>897984</v>
      </c>
      <c r="B933" s="5" t="s">
        <v>2263</v>
      </c>
      <c r="C933" s="5" t="s">
        <v>2139</v>
      </c>
      <c r="F933" s="16">
        <v>8040952553</v>
      </c>
      <c r="G933" s="19" t="b">
        <f t="shared" si="14"/>
        <v>0</v>
      </c>
      <c r="H933" s="19" t="b">
        <f>AND(J933&lt;&gt;"", T933&gt;75)</f>
        <v>0</v>
      </c>
      <c r="J933" s="6"/>
    </row>
    <row r="934" spans="1:22" x14ac:dyDescent="0.3">
      <c r="A934" s="5">
        <v>897985</v>
      </c>
      <c r="B934" s="5" t="s">
        <v>2264</v>
      </c>
      <c r="C934" s="5" t="s">
        <v>2124</v>
      </c>
      <c r="F934" s="16">
        <v>8040952553</v>
      </c>
      <c r="G934" s="19" t="b">
        <f t="shared" si="14"/>
        <v>0</v>
      </c>
      <c r="H934" s="19" t="b">
        <f>AND(J934&lt;&gt;"", T934&gt;75)</f>
        <v>0</v>
      </c>
      <c r="J934" s="6"/>
    </row>
    <row r="935" spans="1:22" x14ac:dyDescent="0.3">
      <c r="A935" s="5">
        <v>897986</v>
      </c>
      <c r="B935" s="5" t="s">
        <v>2265</v>
      </c>
      <c r="C935" s="5" t="s">
        <v>2107</v>
      </c>
      <c r="F935" s="16">
        <v>8040952553</v>
      </c>
      <c r="G935" s="19" t="b">
        <f t="shared" si="14"/>
        <v>0</v>
      </c>
      <c r="H935" s="19" t="b">
        <f>AND(J935&lt;&gt;"", T935&gt;75)</f>
        <v>0</v>
      </c>
      <c r="J935" s="6"/>
    </row>
    <row r="936" spans="1:22" x14ac:dyDescent="0.3">
      <c r="A936" s="5">
        <v>897987</v>
      </c>
      <c r="B936" s="5" t="s">
        <v>2266</v>
      </c>
      <c r="C936" s="5" t="s">
        <v>2107</v>
      </c>
      <c r="F936" s="16">
        <v>8040952553</v>
      </c>
      <c r="G936" s="19" t="b">
        <f t="shared" si="14"/>
        <v>0</v>
      </c>
      <c r="H936" s="19" t="b">
        <f>AND(J936&lt;&gt;"", T936&gt;75)</f>
        <v>0</v>
      </c>
      <c r="J936" s="6"/>
    </row>
    <row r="937" spans="1:22" x14ac:dyDescent="0.3">
      <c r="A937" s="5">
        <v>897988</v>
      </c>
      <c r="B937" s="5" t="s">
        <v>2110</v>
      </c>
      <c r="C937" s="5" t="s">
        <v>2107</v>
      </c>
      <c r="G937" s="19" t="b">
        <f t="shared" si="14"/>
        <v>0</v>
      </c>
      <c r="H937" s="19" t="b">
        <f>AND(J937&lt;&gt;"", T937&gt;75)</f>
        <v>0</v>
      </c>
      <c r="J937" s="6"/>
    </row>
    <row r="938" spans="1:22" x14ac:dyDescent="0.3">
      <c r="A938" s="5">
        <v>897989</v>
      </c>
      <c r="B938" s="5" t="s">
        <v>2135</v>
      </c>
      <c r="C938" s="5" t="s">
        <v>2136</v>
      </c>
      <c r="G938" s="19" t="b">
        <f t="shared" si="14"/>
        <v>0</v>
      </c>
      <c r="H938" s="19" t="b">
        <f>AND(J938&lt;&gt;"", T938&gt;75)</f>
        <v>0</v>
      </c>
      <c r="J938" s="6"/>
    </row>
    <row r="939" spans="1:22" hidden="1" x14ac:dyDescent="0.3">
      <c r="A939" s="5">
        <v>897990</v>
      </c>
      <c r="B939" s="5" t="s">
        <v>2129</v>
      </c>
      <c r="C939" s="5" t="s">
        <v>1813</v>
      </c>
      <c r="D939" s="5" t="s">
        <v>2130</v>
      </c>
      <c r="E939" s="5" t="s">
        <v>2131</v>
      </c>
      <c r="G939" s="19" t="b">
        <f t="shared" si="14"/>
        <v>0</v>
      </c>
      <c r="H939" s="19" t="b">
        <f>AND(J939&lt;&gt;"", T939&gt;75)</f>
        <v>1</v>
      </c>
      <c r="I939" s="6">
        <v>341260</v>
      </c>
      <c r="J939" s="11" t="s">
        <v>2132</v>
      </c>
      <c r="K939" s="6" t="s">
        <v>1817</v>
      </c>
      <c r="L939" s="13">
        <v>702316501416</v>
      </c>
      <c r="M939" s="6">
        <v>31161800</v>
      </c>
      <c r="N939" s="6" t="s">
        <v>2131</v>
      </c>
      <c r="O939" s="6">
        <v>265821</v>
      </c>
      <c r="P939" s="6" t="s">
        <v>2133</v>
      </c>
      <c r="Q939" s="6" t="s">
        <v>1817</v>
      </c>
      <c r="S939" s="8">
        <v>0.84581358061716705</v>
      </c>
      <c r="T939" s="8">
        <v>94.7906790308583</v>
      </c>
      <c r="U939" s="8">
        <v>58.7906790308583</v>
      </c>
      <c r="V939" s="8">
        <v>93.162716123433398</v>
      </c>
    </row>
    <row r="940" spans="1:22" x14ac:dyDescent="0.3">
      <c r="A940" s="5">
        <v>897991</v>
      </c>
      <c r="B940" s="5" t="s">
        <v>2267</v>
      </c>
      <c r="C940" s="5" t="s">
        <v>2107</v>
      </c>
      <c r="G940" s="19" t="b">
        <f t="shared" si="14"/>
        <v>0</v>
      </c>
      <c r="H940" s="19" t="b">
        <f>AND(J940&lt;&gt;"", T940&gt;75)</f>
        <v>0</v>
      </c>
      <c r="J940" s="6"/>
    </row>
    <row r="941" spans="1:22" x14ac:dyDescent="0.3">
      <c r="A941" s="5">
        <v>897992</v>
      </c>
      <c r="B941" s="5" t="s">
        <v>2122</v>
      </c>
      <c r="C941" s="5" t="s">
        <v>2107</v>
      </c>
      <c r="G941" s="19" t="b">
        <f t="shared" si="14"/>
        <v>0</v>
      </c>
      <c r="H941" s="19" t="b">
        <f>AND(J941&lt;&gt;"", T941&gt;75)</f>
        <v>0</v>
      </c>
      <c r="J941" s="6"/>
    </row>
    <row r="942" spans="1:22" x14ac:dyDescent="0.3">
      <c r="A942" s="5">
        <v>897993</v>
      </c>
      <c r="B942" s="5" t="s">
        <v>2126</v>
      </c>
      <c r="C942" s="5" t="s">
        <v>2107</v>
      </c>
      <c r="G942" s="19" t="b">
        <f t="shared" si="14"/>
        <v>0</v>
      </c>
      <c r="H942" s="19" t="b">
        <f>AND(J942&lt;&gt;"", T942&gt;75)</f>
        <v>0</v>
      </c>
      <c r="J942" s="6"/>
    </row>
    <row r="943" spans="1:22" x14ac:dyDescent="0.3">
      <c r="A943" s="5">
        <v>897994</v>
      </c>
      <c r="B943" s="5" t="s">
        <v>2111</v>
      </c>
      <c r="C943" s="5" t="s">
        <v>2107</v>
      </c>
      <c r="G943" s="19" t="b">
        <f t="shared" si="14"/>
        <v>0</v>
      </c>
      <c r="H943" s="19" t="b">
        <f>AND(J943&lt;&gt;"", T943&gt;75)</f>
        <v>0</v>
      </c>
      <c r="J943" s="6"/>
    </row>
    <row r="944" spans="1:22" x14ac:dyDescent="0.3">
      <c r="A944" s="5">
        <v>897995</v>
      </c>
      <c r="B944" s="5" t="s">
        <v>2268</v>
      </c>
      <c r="D944" s="5" t="s">
        <v>2229</v>
      </c>
      <c r="G944" s="19" t="b">
        <f t="shared" si="14"/>
        <v>1</v>
      </c>
      <c r="H944" s="19" t="b">
        <f>AND(J944&lt;&gt;"", T944&gt;75)</f>
        <v>0</v>
      </c>
      <c r="J944" s="6"/>
      <c r="Q944" s="6" t="s">
        <v>39</v>
      </c>
      <c r="R944" s="6" t="s">
        <v>2262</v>
      </c>
      <c r="U944" s="7">
        <v>100</v>
      </c>
    </row>
    <row r="945" spans="1:22" x14ac:dyDescent="0.3">
      <c r="A945" s="5">
        <v>897996</v>
      </c>
      <c r="B945" s="5" t="s">
        <v>2269</v>
      </c>
      <c r="C945" s="5" t="s">
        <v>1296</v>
      </c>
      <c r="D945" s="5" t="s">
        <v>2270</v>
      </c>
      <c r="E945" s="5" t="s">
        <v>2271</v>
      </c>
      <c r="G945" s="19" t="b">
        <f t="shared" si="14"/>
        <v>1</v>
      </c>
      <c r="H945" s="19" t="b">
        <f>AND(J945&lt;&gt;"", T945&gt;75)</f>
        <v>0</v>
      </c>
      <c r="J945" s="6"/>
      <c r="Q945" s="6" t="s">
        <v>1299</v>
      </c>
      <c r="R945" s="6" t="s">
        <v>1296</v>
      </c>
      <c r="U945" s="7">
        <v>70</v>
      </c>
    </row>
    <row r="946" spans="1:22" x14ac:dyDescent="0.3">
      <c r="A946" s="5">
        <v>897997</v>
      </c>
      <c r="B946" s="5" t="s">
        <v>2272</v>
      </c>
      <c r="C946" s="5" t="s">
        <v>1072</v>
      </c>
      <c r="D946" s="5" t="s">
        <v>2273</v>
      </c>
      <c r="E946" s="5" t="s">
        <v>2274</v>
      </c>
      <c r="G946" s="19" t="b">
        <f t="shared" si="14"/>
        <v>0</v>
      </c>
      <c r="H946" s="19" t="b">
        <f>AND(J946&lt;&gt;"", T946&gt;75)</f>
        <v>0</v>
      </c>
      <c r="J946" s="6"/>
    </row>
    <row r="947" spans="1:22" hidden="1" x14ac:dyDescent="0.3">
      <c r="A947" s="5">
        <v>897998</v>
      </c>
      <c r="B947" s="5" t="s">
        <v>1211</v>
      </c>
      <c r="C947" s="5" t="s">
        <v>1025</v>
      </c>
      <c r="D947" s="5" t="s">
        <v>1212</v>
      </c>
      <c r="E947" s="5" t="s">
        <v>1213</v>
      </c>
      <c r="G947" s="19" t="b">
        <f t="shared" si="14"/>
        <v>1</v>
      </c>
      <c r="H947" s="19" t="b">
        <f>AND(J947&lt;&gt;"", T947&gt;75)</f>
        <v>0</v>
      </c>
      <c r="I947" s="6">
        <v>336220</v>
      </c>
      <c r="J947" s="6" t="s">
        <v>1214</v>
      </c>
      <c r="K947" s="6" t="s">
        <v>540</v>
      </c>
      <c r="L947" s="14" t="s">
        <v>1215</v>
      </c>
      <c r="M947" s="6">
        <v>39121406</v>
      </c>
      <c r="N947" s="6" t="s">
        <v>1213</v>
      </c>
      <c r="O947" s="6">
        <v>262728</v>
      </c>
      <c r="P947" s="6" t="s">
        <v>1216</v>
      </c>
      <c r="Q947" s="6" t="s">
        <v>540</v>
      </c>
      <c r="R947" s="6" t="s">
        <v>1025</v>
      </c>
      <c r="S947" s="8">
        <v>0.97209286152476604</v>
      </c>
      <c r="T947" s="7">
        <v>0</v>
      </c>
      <c r="U947" s="7">
        <v>100</v>
      </c>
      <c r="V947" s="7">
        <v>100</v>
      </c>
    </row>
    <row r="948" spans="1:22" hidden="1" x14ac:dyDescent="0.3">
      <c r="A948" s="5">
        <v>897999</v>
      </c>
      <c r="B948" s="5" t="s">
        <v>2275</v>
      </c>
      <c r="C948" s="5" t="s">
        <v>1025</v>
      </c>
      <c r="D948" s="5" t="s">
        <v>2276</v>
      </c>
      <c r="E948" s="5" t="s">
        <v>2277</v>
      </c>
      <c r="G948" s="19" t="b">
        <f t="shared" si="14"/>
        <v>1</v>
      </c>
      <c r="H948" s="19" t="b">
        <f>AND(J948&lt;&gt;"", T948&gt;75)</f>
        <v>0</v>
      </c>
      <c r="I948" s="6">
        <v>338011</v>
      </c>
      <c r="J948" s="6" t="s">
        <v>2278</v>
      </c>
      <c r="K948" s="6" t="s">
        <v>540</v>
      </c>
      <c r="L948" s="14" t="s">
        <v>2279</v>
      </c>
      <c r="M948" s="6">
        <v>39121406</v>
      </c>
      <c r="N948" s="6" t="s">
        <v>2277</v>
      </c>
      <c r="O948" s="6">
        <v>262662</v>
      </c>
      <c r="P948" s="6" t="s">
        <v>2280</v>
      </c>
      <c r="Q948" s="6" t="s">
        <v>540</v>
      </c>
      <c r="R948" s="6" t="s">
        <v>1025</v>
      </c>
      <c r="S948" s="8">
        <v>0.94801454368385896</v>
      </c>
      <c r="T948" s="8">
        <v>30.540779828870601</v>
      </c>
      <c r="U948" s="8">
        <v>56.540779828870598</v>
      </c>
      <c r="V948" s="7">
        <v>100</v>
      </c>
    </row>
    <row r="949" spans="1:22" hidden="1" x14ac:dyDescent="0.3">
      <c r="A949" s="5">
        <v>898000</v>
      </c>
      <c r="B949" s="5" t="s">
        <v>2281</v>
      </c>
      <c r="C949" s="5" t="s">
        <v>1025</v>
      </c>
      <c r="D949" s="5" t="s">
        <v>2282</v>
      </c>
      <c r="E949" s="5" t="s">
        <v>2283</v>
      </c>
      <c r="G949" s="19" t="b">
        <f t="shared" si="14"/>
        <v>1</v>
      </c>
      <c r="H949" s="19" t="b">
        <f>AND(J949&lt;&gt;"", T949&gt;75)</f>
        <v>1</v>
      </c>
      <c r="I949" s="6">
        <v>336700</v>
      </c>
      <c r="J949" s="11" t="s">
        <v>2284</v>
      </c>
      <c r="K949" s="6" t="s">
        <v>540</v>
      </c>
      <c r="L949" s="14" t="s">
        <v>2285</v>
      </c>
      <c r="M949" s="6">
        <v>39121704</v>
      </c>
      <c r="N949" s="6" t="s">
        <v>2283</v>
      </c>
      <c r="O949" s="6">
        <v>262496</v>
      </c>
      <c r="P949" s="6" t="s">
        <v>2286</v>
      </c>
      <c r="Q949" s="6" t="s">
        <v>540</v>
      </c>
      <c r="R949" s="6" t="s">
        <v>1025</v>
      </c>
      <c r="S949" s="8">
        <v>0.96851566775082798</v>
      </c>
      <c r="T949" s="7">
        <v>100</v>
      </c>
      <c r="U949" s="7">
        <v>100</v>
      </c>
      <c r="V949" s="7">
        <v>100</v>
      </c>
    </row>
    <row r="950" spans="1:22" hidden="1" x14ac:dyDescent="0.3">
      <c r="A950" s="5">
        <v>898001</v>
      </c>
      <c r="B950" s="5" t="s">
        <v>2287</v>
      </c>
      <c r="C950" s="5" t="s">
        <v>1025</v>
      </c>
      <c r="D950" s="5" t="s">
        <v>2288</v>
      </c>
      <c r="E950" s="5" t="s">
        <v>2289</v>
      </c>
      <c r="G950" s="19" t="b">
        <f t="shared" si="14"/>
        <v>1</v>
      </c>
      <c r="H950" s="19" t="b">
        <f>AND(J950&lt;&gt;"", T950&gt;75)</f>
        <v>1</v>
      </c>
      <c r="I950" s="6">
        <v>336209</v>
      </c>
      <c r="J950" s="11" t="s">
        <v>2290</v>
      </c>
      <c r="K950" s="6" t="s">
        <v>540</v>
      </c>
      <c r="L950" s="14" t="s">
        <v>2291</v>
      </c>
      <c r="M950" s="6">
        <v>39121704</v>
      </c>
      <c r="N950" s="6" t="s">
        <v>2289</v>
      </c>
      <c r="O950" s="6">
        <v>262572</v>
      </c>
      <c r="P950" s="6" t="s">
        <v>2292</v>
      </c>
      <c r="Q950" s="6" t="s">
        <v>540</v>
      </c>
      <c r="R950" s="6" t="s">
        <v>1025</v>
      </c>
      <c r="S950" s="8">
        <v>0.98885837477203897</v>
      </c>
      <c r="T950" s="7">
        <v>100</v>
      </c>
      <c r="U950" s="7">
        <v>100</v>
      </c>
      <c r="V950" s="7">
        <v>100</v>
      </c>
    </row>
    <row r="951" spans="1:22" x14ac:dyDescent="0.3">
      <c r="A951" s="5">
        <v>898002</v>
      </c>
      <c r="B951" s="5" t="s">
        <v>1931</v>
      </c>
      <c r="C951" s="5" t="s">
        <v>1932</v>
      </c>
      <c r="D951" s="5" t="s">
        <v>1933</v>
      </c>
      <c r="G951" s="19" t="b">
        <f t="shared" si="14"/>
        <v>1</v>
      </c>
      <c r="H951" s="19" t="b">
        <f>AND(J951&lt;&gt;"", T951&gt;75)</f>
        <v>0</v>
      </c>
      <c r="J951" s="6"/>
      <c r="Q951" s="6" t="s">
        <v>867</v>
      </c>
      <c r="R951" s="6" t="s">
        <v>867</v>
      </c>
      <c r="U951" s="7">
        <v>80</v>
      </c>
    </row>
    <row r="952" spans="1:22" hidden="1" x14ac:dyDescent="0.3">
      <c r="A952" s="5">
        <v>898003</v>
      </c>
      <c r="B952" s="5" t="s">
        <v>1994</v>
      </c>
      <c r="C952" s="5" t="s">
        <v>1017</v>
      </c>
      <c r="D952" s="5" t="s">
        <v>1995</v>
      </c>
      <c r="E952" s="5" t="s">
        <v>1996</v>
      </c>
      <c r="G952" s="19" t="b">
        <f>(R952&lt;&gt;"")</f>
        <v>0</v>
      </c>
      <c r="H952" s="19" t="b">
        <f>AND(J952&lt;&gt;"", T952&gt;75)</f>
        <v>1</v>
      </c>
      <c r="I952" s="6">
        <v>337198</v>
      </c>
      <c r="J952" s="11" t="s">
        <v>1995</v>
      </c>
      <c r="K952" s="6" t="s">
        <v>112</v>
      </c>
      <c r="L952" s="13">
        <v>781011608439</v>
      </c>
      <c r="M952" s="6">
        <v>31162906</v>
      </c>
      <c r="N952" s="6" t="s">
        <v>1996</v>
      </c>
      <c r="O952" s="6">
        <v>253190</v>
      </c>
      <c r="P952" s="6" t="s">
        <v>1997</v>
      </c>
      <c r="Q952" s="6" t="s">
        <v>42</v>
      </c>
      <c r="S952" s="8">
        <v>0.84095478365672405</v>
      </c>
      <c r="T952" s="8">
        <v>79.547739182836196</v>
      </c>
      <c r="U952" s="8">
        <v>49.547739182836203</v>
      </c>
      <c r="V952" s="8">
        <v>83.190956731344897</v>
      </c>
    </row>
    <row r="953" spans="1:22" hidden="1" x14ac:dyDescent="0.3">
      <c r="A953" s="5">
        <v>898004</v>
      </c>
      <c r="B953" s="5" t="s">
        <v>2293</v>
      </c>
      <c r="C953" s="5" t="s">
        <v>1065</v>
      </c>
      <c r="D953" s="5" t="s">
        <v>1550</v>
      </c>
      <c r="E953" s="5" t="s">
        <v>1551</v>
      </c>
      <c r="G953" s="19" t="b">
        <f t="shared" si="14"/>
        <v>0</v>
      </c>
      <c r="H953" s="19" t="b">
        <f>AND(J953&lt;&gt;"", T953&gt;75)</f>
        <v>1</v>
      </c>
      <c r="I953" s="6">
        <v>337869</v>
      </c>
      <c r="J953" s="11" t="s">
        <v>1550</v>
      </c>
      <c r="K953" s="6" t="s">
        <v>308</v>
      </c>
      <c r="L953" s="13">
        <v>786189104042</v>
      </c>
      <c r="M953" s="6">
        <v>39121308</v>
      </c>
      <c r="N953" s="6" t="s">
        <v>1551</v>
      </c>
      <c r="O953" s="6">
        <v>256426</v>
      </c>
      <c r="P953" s="6" t="s">
        <v>2294</v>
      </c>
      <c r="Q953" s="6" t="s">
        <v>308</v>
      </c>
      <c r="S953" s="7">
        <v>0.85098261728237601</v>
      </c>
      <c r="T953" s="7">
        <v>80.049130864118794</v>
      </c>
      <c r="U953" s="7">
        <v>84.049130864118794</v>
      </c>
      <c r="V953" s="8">
        <v>89.196523456475106</v>
      </c>
    </row>
    <row r="954" spans="1:22" x14ac:dyDescent="0.3">
      <c r="A954" s="5">
        <v>898005</v>
      </c>
      <c r="B954" s="5" t="s">
        <v>2295</v>
      </c>
      <c r="C954" s="5" t="s">
        <v>1080</v>
      </c>
      <c r="D954" s="5" t="s">
        <v>2296</v>
      </c>
      <c r="E954" s="5" t="s">
        <v>2297</v>
      </c>
      <c r="G954" s="19" t="b">
        <f t="shared" si="14"/>
        <v>0</v>
      </c>
      <c r="H954" s="19" t="b">
        <f>AND(J954&lt;&gt;"", T954&gt;75)</f>
        <v>0</v>
      </c>
      <c r="J954" s="6"/>
    </row>
    <row r="955" spans="1:22" hidden="1" x14ac:dyDescent="0.3">
      <c r="A955" s="5">
        <v>898006</v>
      </c>
      <c r="B955" s="5" t="s">
        <v>2298</v>
      </c>
      <c r="C955" s="5" t="s">
        <v>1065</v>
      </c>
      <c r="D955" s="5" t="s">
        <v>2299</v>
      </c>
      <c r="E955" s="5" t="s">
        <v>2300</v>
      </c>
      <c r="G955" s="19" t="b">
        <f t="shared" si="14"/>
        <v>0</v>
      </c>
      <c r="H955" s="19" t="b">
        <f>AND(J955&lt;&gt;"", T955&gt;75)</f>
        <v>1</v>
      </c>
      <c r="I955" s="6">
        <v>337858</v>
      </c>
      <c r="J955" s="11" t="s">
        <v>2299</v>
      </c>
      <c r="K955" s="6" t="s">
        <v>308</v>
      </c>
      <c r="L955" s="13">
        <v>786189102529</v>
      </c>
      <c r="M955" s="6">
        <v>39121306</v>
      </c>
      <c r="N955" s="6" t="s">
        <v>2300</v>
      </c>
      <c r="O955" s="6">
        <v>256408</v>
      </c>
      <c r="P955" s="6" t="s">
        <v>2301</v>
      </c>
      <c r="Q955" s="6" t="s">
        <v>308</v>
      </c>
      <c r="S955" s="8">
        <v>0.83023227423761403</v>
      </c>
      <c r="T955" s="8">
        <v>79.011613711880699</v>
      </c>
      <c r="U955" s="8">
        <v>83.011613711880699</v>
      </c>
      <c r="V955" s="8">
        <v>85.046454847522895</v>
      </c>
    </row>
    <row r="956" spans="1:22" x14ac:dyDescent="0.3">
      <c r="A956" s="5">
        <v>898007</v>
      </c>
      <c r="B956" s="5" t="s">
        <v>2302</v>
      </c>
      <c r="C956" s="5" t="s">
        <v>1130</v>
      </c>
      <c r="D956" s="5">
        <v>3210</v>
      </c>
      <c r="E956" s="5" t="s">
        <v>2015</v>
      </c>
      <c r="G956" s="19" t="b">
        <f t="shared" si="14"/>
        <v>0</v>
      </c>
      <c r="H956" s="19" t="b">
        <f>AND(J956&lt;&gt;"", T956&gt;75)</f>
        <v>0</v>
      </c>
      <c r="J956" s="6"/>
    </row>
    <row r="957" spans="1:22" x14ac:dyDescent="0.3">
      <c r="A957" s="5">
        <v>898008</v>
      </c>
      <c r="B957" s="5" t="s">
        <v>2303</v>
      </c>
      <c r="G957" s="19" t="b">
        <f t="shared" si="14"/>
        <v>0</v>
      </c>
      <c r="H957" s="19" t="b">
        <f>AND(J957&lt;&gt;"", T957&gt;75)</f>
        <v>0</v>
      </c>
      <c r="J957" s="6"/>
    </row>
    <row r="958" spans="1:22" x14ac:dyDescent="0.3">
      <c r="A958" s="5">
        <v>898009</v>
      </c>
      <c r="B958" s="5" t="s">
        <v>2304</v>
      </c>
      <c r="G958" s="19" t="b">
        <f t="shared" si="14"/>
        <v>0</v>
      </c>
      <c r="H958" s="19" t="b">
        <f>AND(J958&lt;&gt;"", T958&gt;75)</f>
        <v>0</v>
      </c>
      <c r="J958" s="6"/>
    </row>
    <row r="959" spans="1:22" x14ac:dyDescent="0.3">
      <c r="A959" s="5">
        <v>898010</v>
      </c>
      <c r="B959" s="5" t="s">
        <v>2305</v>
      </c>
      <c r="G959" s="19" t="b">
        <f t="shared" si="14"/>
        <v>0</v>
      </c>
      <c r="H959" s="19" t="b">
        <f>AND(J959&lt;&gt;"", T959&gt;75)</f>
        <v>0</v>
      </c>
      <c r="J959" s="6"/>
    </row>
    <row r="960" spans="1:22" x14ac:dyDescent="0.3">
      <c r="A960" s="5">
        <v>898011</v>
      </c>
      <c r="B960" s="5" t="s">
        <v>2306</v>
      </c>
      <c r="G960" s="19" t="b">
        <f t="shared" si="14"/>
        <v>0</v>
      </c>
      <c r="H960" s="19" t="b">
        <f>AND(J960&lt;&gt;"", T960&gt;75)</f>
        <v>0</v>
      </c>
      <c r="J960" s="6"/>
    </row>
    <row r="961" spans="1:22" x14ac:dyDescent="0.3">
      <c r="A961" s="5">
        <v>898012</v>
      </c>
      <c r="B961" s="5" t="s">
        <v>2307</v>
      </c>
      <c r="G961" s="19" t="b">
        <f t="shared" si="14"/>
        <v>0</v>
      </c>
      <c r="H961" s="19" t="b">
        <f>AND(J961&lt;&gt;"", T961&gt;75)</f>
        <v>0</v>
      </c>
      <c r="J961" s="6"/>
    </row>
    <row r="962" spans="1:22" x14ac:dyDescent="0.3">
      <c r="A962" s="5">
        <v>898013</v>
      </c>
      <c r="B962" s="5" t="s">
        <v>2308</v>
      </c>
      <c r="G962" s="19" t="b">
        <f t="shared" si="14"/>
        <v>0</v>
      </c>
      <c r="H962" s="19" t="b">
        <f>AND(J962&lt;&gt;"", T962&gt;75)</f>
        <v>0</v>
      </c>
      <c r="J962" s="6"/>
    </row>
    <row r="963" spans="1:22" x14ac:dyDescent="0.3">
      <c r="A963" s="5">
        <v>898014</v>
      </c>
      <c r="B963" s="5" t="s">
        <v>2309</v>
      </c>
      <c r="G963" s="19" t="b">
        <f t="shared" ref="G963:G969" si="15">(R963&lt;&gt;"")</f>
        <v>0</v>
      </c>
      <c r="H963" s="19" t="b">
        <f>AND(J963&lt;&gt;"", T963&gt;75)</f>
        <v>0</v>
      </c>
      <c r="J963" s="6"/>
    </row>
    <row r="964" spans="1:22" hidden="1" x14ac:dyDescent="0.3">
      <c r="A964" s="5">
        <v>898015</v>
      </c>
      <c r="B964" s="5" t="s">
        <v>2310</v>
      </c>
      <c r="F964" s="16">
        <v>88495106254</v>
      </c>
      <c r="G964" s="19" t="b">
        <f t="shared" si="15"/>
        <v>0</v>
      </c>
      <c r="H964" s="19" t="b">
        <f>AND(J964&lt;&gt;"", T964&gt;75)</f>
        <v>0</v>
      </c>
      <c r="I964" s="6">
        <v>281974</v>
      </c>
      <c r="J964" s="6">
        <v>32025</v>
      </c>
      <c r="K964" s="6" t="s">
        <v>212</v>
      </c>
      <c r="L964" s="14" t="s">
        <v>2311</v>
      </c>
      <c r="M964" s="6">
        <v>31151901</v>
      </c>
      <c r="O964" s="6">
        <v>2718</v>
      </c>
      <c r="P964" s="6" t="s">
        <v>2312</v>
      </c>
      <c r="Q964" s="6" t="s">
        <v>212</v>
      </c>
      <c r="S964" s="8">
        <v>0.34991019083340602</v>
      </c>
      <c r="T964" s="8">
        <v>49.995509541670302</v>
      </c>
      <c r="U964" s="8">
        <v>55.995509541670302</v>
      </c>
      <c r="V964" s="7">
        <v>0</v>
      </c>
    </row>
    <row r="965" spans="1:22" x14ac:dyDescent="0.3">
      <c r="A965" s="5">
        <v>898017</v>
      </c>
      <c r="B965" s="5" t="s">
        <v>2313</v>
      </c>
      <c r="F965" s="16">
        <v>66207363475</v>
      </c>
      <c r="G965" s="19" t="b">
        <f t="shared" si="15"/>
        <v>0</v>
      </c>
      <c r="H965" s="19" t="b">
        <f>AND(J965&lt;&gt;"", T965&gt;75)</f>
        <v>0</v>
      </c>
      <c r="J965" s="6"/>
    </row>
    <row r="966" spans="1:22" hidden="1" x14ac:dyDescent="0.3">
      <c r="A966" s="5">
        <v>898018</v>
      </c>
      <c r="B966" s="5" t="s">
        <v>2314</v>
      </c>
      <c r="F966" s="17" t="s">
        <v>2315</v>
      </c>
      <c r="G966" s="19" t="b">
        <f t="shared" si="15"/>
        <v>0</v>
      </c>
      <c r="H966" s="19" t="b">
        <f>AND(J966&lt;&gt;"", T966&gt;75)</f>
        <v>1</v>
      </c>
      <c r="I966" s="6">
        <v>114446</v>
      </c>
      <c r="J966" s="11" t="s">
        <v>2316</v>
      </c>
      <c r="K966" s="6" t="s">
        <v>2317</v>
      </c>
      <c r="L966" s="14" t="s">
        <v>2318</v>
      </c>
      <c r="M966" s="6">
        <v>26121600</v>
      </c>
      <c r="O966" s="6">
        <v>40517</v>
      </c>
      <c r="P966" s="6" t="s">
        <v>2319</v>
      </c>
      <c r="Q966" s="6" t="s">
        <v>2317</v>
      </c>
      <c r="S966" s="8">
        <v>0.759558989760172</v>
      </c>
      <c r="T966" s="7">
        <v>100</v>
      </c>
      <c r="U966" s="7">
        <v>94.477949488008605</v>
      </c>
      <c r="V966" s="8">
        <v>85.911797952034405</v>
      </c>
    </row>
    <row r="967" spans="1:22" x14ac:dyDescent="0.3">
      <c r="A967" s="5">
        <v>898019</v>
      </c>
      <c r="B967" s="5" t="s">
        <v>2320</v>
      </c>
      <c r="F967" s="16">
        <v>61132050072</v>
      </c>
      <c r="G967" s="19" t="b">
        <f t="shared" si="15"/>
        <v>1</v>
      </c>
      <c r="H967" s="19" t="b">
        <f>AND(J967&lt;&gt;"", T967&gt;75)</f>
        <v>0</v>
      </c>
      <c r="J967" s="6"/>
      <c r="Q967" s="6" t="s">
        <v>114</v>
      </c>
      <c r="R967" s="6" t="s">
        <v>114</v>
      </c>
      <c r="U967" s="7">
        <v>95</v>
      </c>
    </row>
    <row r="968" spans="1:22" x14ac:dyDescent="0.3">
      <c r="A968" s="5">
        <v>898020</v>
      </c>
      <c r="B968" s="5" t="s">
        <v>2321</v>
      </c>
      <c r="F968" s="17" t="s">
        <v>2322</v>
      </c>
      <c r="G968" s="19" t="b">
        <f t="shared" si="15"/>
        <v>0</v>
      </c>
      <c r="H968" s="19" t="b">
        <f>AND(J968&lt;&gt;"", T968&gt;75)</f>
        <v>0</v>
      </c>
      <c r="J968" s="6"/>
    </row>
    <row r="969" spans="1:22" x14ac:dyDescent="0.3">
      <c r="A969" s="5">
        <v>898021</v>
      </c>
      <c r="B969" s="5" t="s">
        <v>2323</v>
      </c>
      <c r="F969" s="17" t="s">
        <v>2324</v>
      </c>
      <c r="G969" s="19" t="b">
        <f t="shared" si="15"/>
        <v>0</v>
      </c>
      <c r="H969" s="19" t="b">
        <f>AND(J969&lt;&gt;"", T969&gt;75)</f>
        <v>0</v>
      </c>
      <c r="J969" s="6"/>
    </row>
    <row r="970" spans="1:22" x14ac:dyDescent="0.3">
      <c r="A970" s="5">
        <v>898023</v>
      </c>
      <c r="B970" s="5" t="s">
        <v>2325</v>
      </c>
      <c r="C970" s="5" t="s">
        <v>2326</v>
      </c>
      <c r="G970" s="19" t="b">
        <f t="shared" ref="G970" si="16">(R970&lt;&gt;"")</f>
        <v>1</v>
      </c>
      <c r="H970" s="19" t="b">
        <f>AND(J970&lt;&gt;"", T970&gt;75)</f>
        <v>0</v>
      </c>
      <c r="J970" s="6"/>
      <c r="Q970" s="6" t="s">
        <v>2327</v>
      </c>
      <c r="R970" s="6" t="s">
        <v>2327</v>
      </c>
      <c r="U970" s="7">
        <v>100</v>
      </c>
    </row>
  </sheetData>
  <autoFilter ref="A1:V970" xr:uid="{DFC49084-C344-4EC3-97DD-C98923FE674D}">
    <filterColumn colId="7">
      <filters>
        <filter val="FALSE"/>
      </filters>
    </filterColumn>
    <filterColumn colId="8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Levtov, Kirill (Perficient Consultant)</cp:lastModifiedBy>
  <dcterms:created xsi:type="dcterms:W3CDTF">2025-04-07T18:20:57Z</dcterms:created>
  <dcterms:modified xsi:type="dcterms:W3CDTF">2025-04-08T15:48:34Z</dcterms:modified>
</cp:coreProperties>
</file>